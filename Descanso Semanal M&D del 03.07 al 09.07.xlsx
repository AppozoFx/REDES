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1A4939-3819-49BE-B0A9-0494EBC1A8CB}" xr6:coauthVersionLast="47" xr6:coauthVersionMax="47" xr10:uidLastSave="{00000000-0000-0000-0000-000000000000}"/>
  <bookViews>
    <workbookView xWindow="0" yWindow="30" windowWidth="22770" windowHeight="15570" xr2:uid="{AFA4D380-ED76-43B9-A52A-1CBF76D68E94}"/>
  </bookViews>
  <sheets>
    <sheet name="Hoja1" sheetId="1" r:id="rId1"/>
  </sheets>
  <definedNames>
    <definedName name="_xlnm._FilterDatabase" localSheetId="0" hidden="1">Hoja1!$A$2:$O$83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3" i="1" l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<sst xmlns="http://schemas.openxmlformats.org/spreadsheetml/2006/main" count="816" uniqueCount="224">
  <si>
    <t>VIERNES</t>
  </si>
  <si>
    <t>SÁBADO</t>
  </si>
  <si>
    <t>DOMINGO</t>
  </si>
  <si>
    <t>LUNES</t>
  </si>
  <si>
    <t>MARTES</t>
  </si>
  <si>
    <t>MIÉRCOLES</t>
  </si>
  <si>
    <t>JUEVES</t>
  </si>
  <si>
    <t>ITEM</t>
  </si>
  <si>
    <t>FUENTE</t>
  </si>
  <si>
    <t>PARTNER</t>
  </si>
  <si>
    <t>CODIGO</t>
  </si>
  <si>
    <t>CUADRILLAS</t>
  </si>
  <si>
    <t>ZONA 1</t>
  </si>
  <si>
    <t>OBSERVACION</t>
  </si>
  <si>
    <t>Total Asistencia</t>
  </si>
  <si>
    <t>K 1 M&amp;D</t>
  </si>
  <si>
    <t>M&amp;D</t>
  </si>
  <si>
    <t>K1</t>
  </si>
  <si>
    <t>K 1 M&amp;D SGI ABEL ANGEL ROMANI CODOVA</t>
  </si>
  <si>
    <t>ESTE 1</t>
  </si>
  <si>
    <t>A</t>
  </si>
  <si>
    <t>D</t>
  </si>
  <si>
    <t>K 2 M&amp;D</t>
  </si>
  <si>
    <t>K2</t>
  </si>
  <si>
    <t>K 2 M&amp;D SGI GINO YOMAR REYES RAMIREZ</t>
  </si>
  <si>
    <t>NORTE 2</t>
  </si>
  <si>
    <t>K 3 M&amp;D</t>
  </si>
  <si>
    <t>K3</t>
  </si>
  <si>
    <t>K 4 M&amp;D</t>
  </si>
  <si>
    <t>K4</t>
  </si>
  <si>
    <t>K 5 M&amp;D</t>
  </si>
  <si>
    <t>K5</t>
  </si>
  <si>
    <t xml:space="preserve">K 5 M&amp;D SGI JOSE ELIAS  CHAVEZ SALINAS </t>
  </si>
  <si>
    <t>OESTE 2</t>
  </si>
  <si>
    <t>K 6 M&amp;D</t>
  </si>
  <si>
    <t>K6</t>
  </si>
  <si>
    <t>K 7 M&amp;D</t>
  </si>
  <si>
    <t>K7</t>
  </si>
  <si>
    <t>K 8 M&amp;D</t>
  </si>
  <si>
    <t>K8</t>
  </si>
  <si>
    <t>K 8 M&amp;D SGI AGUSTIN HUMBERTO INFANTES TAMARA</t>
  </si>
  <si>
    <t>OESTE 1</t>
  </si>
  <si>
    <t>K 9 M&amp;D</t>
  </si>
  <si>
    <t>K9</t>
  </si>
  <si>
    <t>K 10 M&amp;D</t>
  </si>
  <si>
    <t>K10</t>
  </si>
  <si>
    <t>K 10 M&amp;D SGI PASCUAL ANTONIO RICARDO GUEVARA VALLE</t>
  </si>
  <si>
    <t>K 11 M&amp;D</t>
  </si>
  <si>
    <t>K11</t>
  </si>
  <si>
    <t>K 12 M&amp;D</t>
  </si>
  <si>
    <t>K12</t>
  </si>
  <si>
    <t>K 13 M&amp;D</t>
  </si>
  <si>
    <t>K13</t>
  </si>
  <si>
    <t xml:space="preserve">K 13 M&amp;D SGI  YIVER ANDRES PLAZA  DIAZ </t>
  </si>
  <si>
    <t>K 14 M&amp;D</t>
  </si>
  <si>
    <t>K14</t>
  </si>
  <si>
    <t>K 14 M&amp;D SGI JORGE EDUARDO CARDENAS ESPINO</t>
  </si>
  <si>
    <t>K 15 M&amp;D</t>
  </si>
  <si>
    <t>K15</t>
  </si>
  <si>
    <t>K 15 M&amp;D SGI ROBERT JOSE RODRIGUEZ</t>
  </si>
  <si>
    <t>K 16 M&amp;D</t>
  </si>
  <si>
    <t>K16</t>
  </si>
  <si>
    <t>K 17 M&amp;D</t>
  </si>
  <si>
    <t>K17</t>
  </si>
  <si>
    <t>K 17 M&amp;D SGI ROBERT ANTHONY CCAÑAHUA SALVATIERRA</t>
  </si>
  <si>
    <t>K 18 M&amp;D</t>
  </si>
  <si>
    <t>K18</t>
  </si>
  <si>
    <t>K 19 M&amp;D</t>
  </si>
  <si>
    <t>K19</t>
  </si>
  <si>
    <t>K 20 M&amp;D</t>
  </si>
  <si>
    <t>K20</t>
  </si>
  <si>
    <t>K 21 M&amp;D</t>
  </si>
  <si>
    <t>K21</t>
  </si>
  <si>
    <t>K 22 M&amp;D</t>
  </si>
  <si>
    <t>K22</t>
  </si>
  <si>
    <t>K 23 M&amp;D</t>
  </si>
  <si>
    <t>K23</t>
  </si>
  <si>
    <t>K 23 M&amp;D SGI EFRAIN CONDEZO CORDOVA</t>
  </si>
  <si>
    <t>K 24 M&amp;D</t>
  </si>
  <si>
    <t>K24</t>
  </si>
  <si>
    <t>K 25 M&amp;D</t>
  </si>
  <si>
    <t>K25</t>
  </si>
  <si>
    <t>K 26 M&amp;D</t>
  </si>
  <si>
    <t>K26</t>
  </si>
  <si>
    <t>K 27 M&amp;D</t>
  </si>
  <si>
    <t>K27</t>
  </si>
  <si>
    <t>K 27 M&amp;D SGI RONALD JESUS BOADA RAMOS</t>
  </si>
  <si>
    <t>K 28 M&amp;D</t>
  </si>
  <si>
    <t>K28</t>
  </si>
  <si>
    <t>K 28 M&amp;D SGI EMMANUEL ÁNGEL CASTILLO GOMERO</t>
  </si>
  <si>
    <t>K 29 M&amp;D</t>
  </si>
  <si>
    <t>K29</t>
  </si>
  <si>
    <t>K 30 M&amp;D</t>
  </si>
  <si>
    <t>K30</t>
  </si>
  <si>
    <t>K 30 M&amp;D SGI HUMBERTO MARTIN NEGRON VASQUEZ</t>
  </si>
  <si>
    <t>CENTRO 2</t>
  </si>
  <si>
    <t>K 31 M&amp;D</t>
  </si>
  <si>
    <t>K31</t>
  </si>
  <si>
    <t>K 31 M&amp;D SGI ALEXIS GIANPOL MINAYA SALAZAR</t>
  </si>
  <si>
    <t>CENTRO 1</t>
  </si>
  <si>
    <t>K 32 M&amp;D</t>
  </si>
  <si>
    <t>K32</t>
  </si>
  <si>
    <t>K 32 M&amp;D SGI JOSE GIOVANNI HILARDO GONZALEZ</t>
  </si>
  <si>
    <t>K 1 MOTOWIN M&amp;D</t>
  </si>
  <si>
    <t>MOTOWIN M&amp;D</t>
  </si>
  <si>
    <t>K 1 MOTOWIN M&amp;D SGI MARCELO JOSE BERMUDEZ NARVAEZ</t>
  </si>
  <si>
    <t>K 2 MOTOWIN M&amp;D</t>
  </si>
  <si>
    <t>K 2 MOTOWIN M&amp;D SGI JOSE MANUEL BOLIVAR MANZINI</t>
  </si>
  <si>
    <t>OESTE 3</t>
  </si>
  <si>
    <t>K 3 MOTOWIN M&amp;D</t>
  </si>
  <si>
    <t>K 3 MOTOWIN M&amp;D SGI BEYKER HERNANDEZ RODRIGUEZ</t>
  </si>
  <si>
    <t>K 4 MOTOWIN M&amp;D</t>
  </si>
  <si>
    <t>K 4 MOTOWIN M&amp;D SGI GEAN MARCO LEON BRAVO</t>
  </si>
  <si>
    <t>ESTE 3</t>
  </si>
  <si>
    <t>K 5 MOTOWIN M&amp;D</t>
  </si>
  <si>
    <t>K 6 MOTOWIN M&amp;D</t>
  </si>
  <si>
    <t>K 6 MOTOWIN M&amp;D SGI   EMILIO MATHEUS VENEGAS</t>
  </si>
  <si>
    <t>K 7 MOTOWIN M&amp;D</t>
  </si>
  <si>
    <t>K 7 MOTOWIN M&amp;D SGI ADHEMIR RALPH RODRIGUEZ ARCE</t>
  </si>
  <si>
    <t>K 8 MOTOWIN M&amp;D</t>
  </si>
  <si>
    <t>K 8 MOTOWIN M&amp;D SGI ADRIAN DAVID TORO TORO</t>
  </si>
  <si>
    <t>K 9 MOTOWIN M&amp;D</t>
  </si>
  <si>
    <t>K 9 MOTOWIN M&amp;D SGI JAIR MORI MENDOZA</t>
  </si>
  <si>
    <t>K 10 MOTOWIN M&amp;D</t>
  </si>
  <si>
    <t>K 10 MOTOWIN M&amp;D SGI JEAN CARLOS OQUENDO LEAL</t>
  </si>
  <si>
    <t>NORTE 1</t>
  </si>
  <si>
    <t>K 11 MOTOWIN M&amp;D</t>
  </si>
  <si>
    <t>K 11 MOTOWIN M&amp;D SGI ANGEL CUBEROS ROMERO</t>
  </si>
  <si>
    <t>K 12 MOTOWIN M&amp;D</t>
  </si>
  <si>
    <t>K 12 MOTOWIN M&amp;D SGI ALEXANDER SANCHEZ HUILLCA</t>
  </si>
  <si>
    <t>K 13 MOTOWIN M&amp;D</t>
  </si>
  <si>
    <t>K 13 MOTOWIN M&amp;D SGI ALVIS BARROS JIMENEZ</t>
  </si>
  <si>
    <t>K 14 MOTOWIN M&amp;D</t>
  </si>
  <si>
    <t>K 14 MOTOWIN M&amp;D SGI GUSTAVO BENITEZ TESORERO</t>
  </si>
  <si>
    <t>SUR 4</t>
  </si>
  <si>
    <t>K 15 MOTOWIN M&amp;D</t>
  </si>
  <si>
    <t>K 15 MOTOWIN M&amp;D SGI  JHONATAN GUERRERO PASACHE</t>
  </si>
  <si>
    <t>K 16 MOTOWIN M&amp;D</t>
  </si>
  <si>
    <t>K 16 MOTOWIN M&amp;D SGI EANGELO ROYVER VASQUEZ PEREZ</t>
  </si>
  <si>
    <t>K 17 MOTOWIN M&amp;D</t>
  </si>
  <si>
    <t>K 17 MOTOWIN M&amp;D SGI KELWIS RINCON IGLESIAS</t>
  </si>
  <si>
    <t>K 18 MOTOWIN M&amp;D</t>
  </si>
  <si>
    <t>K 18 MOTOWIN M&amp;D SGI JOSE LUIS PERALES GAONA</t>
  </si>
  <si>
    <t>K 19 MOTOWIN M&amp;D</t>
  </si>
  <si>
    <t>K 19 MOTOWIN M&amp;D SGI JORGE ROMERO SANTISTEBAN</t>
  </si>
  <si>
    <t>SUR 1</t>
  </si>
  <si>
    <t>K 20 MOTOWIN M&amp;D</t>
  </si>
  <si>
    <t>K 20 MOTOWIN M&amp;D SGI RODMAN YAHVET BLANCO CERA</t>
  </si>
  <si>
    <t>K 21 MOTOWIN M&amp;D</t>
  </si>
  <si>
    <t>K 21 MOTOWIN M&amp;D SGI FRAN ANTONY EXPOSITO OLIVA</t>
  </si>
  <si>
    <t>K 22 MOTOWIN M&amp;D</t>
  </si>
  <si>
    <t>K 22 MOTOWIN M&amp;D SGI LEONARDO BECERRA MARCANO</t>
  </si>
  <si>
    <t>K 23 MOTOWIN M&amp;D</t>
  </si>
  <si>
    <t>K 23 MOTOWIN M&amp;D SGI VICTOR DAVID LUNA GONZALEZ</t>
  </si>
  <si>
    <t>K 24 MOTOWIN M&amp;D</t>
  </si>
  <si>
    <t>K 24 MOTOWIN M&amp;D SGI NESTOR JOSUE MEDINA ZAMBRANO</t>
  </si>
  <si>
    <t>K 25 MOTOWIN M&amp;D</t>
  </si>
  <si>
    <t>K 25 MOTOWIN M&amp;D SGI HELAM GIUSEPH RONDON GIMENEZ</t>
  </si>
  <si>
    <t>K 26 MOTOWIN M&amp;D</t>
  </si>
  <si>
    <t>K 26 MOTOWIN M&amp;D SGI WILLMER JESUS NATERA RUIZ</t>
  </si>
  <si>
    <t>K 27 MOTOWIN M&amp;D</t>
  </si>
  <si>
    <t>K 27 MOTOWIN M&amp;D SGI JUNIOR LUIS SEGURA SANTAELLA</t>
  </si>
  <si>
    <t>K 28 MOTOWIN M&amp;D</t>
  </si>
  <si>
    <t>K 28 MOTOWIN M&amp;D SGI YORGEN JOSE BLANCO MELIAN</t>
  </si>
  <si>
    <t>K 29 MOTOWIN M&amp;D</t>
  </si>
  <si>
    <t>K 29 MOTOWIN M&amp;D SGI EDGAR DAVID VILLASANA ROMERO</t>
  </si>
  <si>
    <t>K 30 MOTOWIN M&amp;D</t>
  </si>
  <si>
    <t>K 30 MOTOWIN M&amp;D SGI JUVER AGUILAR MARIÑOS</t>
  </si>
  <si>
    <t>K 31 MOTOWIN M&amp;D</t>
  </si>
  <si>
    <t>K 31 MOTOWIN M&amp;D SGI CHRIS CERVANTES AQUINO</t>
  </si>
  <si>
    <t>K 32 MOTOWIN M&amp;D</t>
  </si>
  <si>
    <t>K 32 MOTOWIN M&amp;D SGI MILTON GARCIA LARA</t>
  </si>
  <si>
    <t>K 33 MOTOWIN M&amp;D</t>
  </si>
  <si>
    <t>K33</t>
  </si>
  <si>
    <t>K 33 MOTOWIN M&amp;D SGI MANUEL FARID ARAUJO HIDALGO</t>
  </si>
  <si>
    <t>K 34 MOTOWIN M&amp;D</t>
  </si>
  <si>
    <t>K34</t>
  </si>
  <si>
    <t>K 34 MOTOWIN M&amp;D SGI SEBASTIÁN CARDENAS DE LA CRUZ</t>
  </si>
  <si>
    <t>ESTE 2</t>
  </si>
  <si>
    <t>K 35 MOTOWIN M&amp;D</t>
  </si>
  <si>
    <t>K35</t>
  </si>
  <si>
    <t>K 35 MOTOWIN M&amp;D SGI DIEGO FELIPE ALEGRIA MIO</t>
  </si>
  <si>
    <t>K 36 MOTOWIN M&amp;D</t>
  </si>
  <si>
    <t>K36</t>
  </si>
  <si>
    <t>K 36 MOTOWIN M&amp;D SGI SERGIO ENRRIQUE SANCHEZ LEON</t>
  </si>
  <si>
    <t>K 37 MOTOWIN M&amp;D</t>
  </si>
  <si>
    <t>K37</t>
  </si>
  <si>
    <t>K 37 MOTOWIN M&amp;D SGI JEFERSON CARDENAS PERALES</t>
  </si>
  <si>
    <t>K 38 MOTOWIN M&amp;D</t>
  </si>
  <si>
    <t>K38</t>
  </si>
  <si>
    <t>K 38  MOTOWIN M&amp;D SGI  PAUL PALLARDELLY MENDOZA</t>
  </si>
  <si>
    <t>K 39 MOTOWIN M&amp;D</t>
  </si>
  <si>
    <t>K39</t>
  </si>
  <si>
    <t>K 39  MOTOWIN M&amp;D SGI  JERSON KELLMAN VIEIRA CRUZ</t>
  </si>
  <si>
    <t>K 40 MOTOWIN M&amp;D</t>
  </si>
  <si>
    <t>K40</t>
  </si>
  <si>
    <t>K 40  MOTOWIN M&amp;D SGI JUAN CESAR MIRANDA CORDOVA</t>
  </si>
  <si>
    <t>K 41 MOTOWIN M&amp;D</t>
  </si>
  <si>
    <t>K41</t>
  </si>
  <si>
    <t>K 41 MOTOWIN M&amp;D SGI JOSE DAVID MORLES PIÑA</t>
  </si>
  <si>
    <t>K 42 MOTOWIN M&amp;D</t>
  </si>
  <si>
    <t>K42</t>
  </si>
  <si>
    <t>K 42 MOTOWIN M&amp;D SGI  STEVEN JOSUE BRACHO CABALLERO</t>
  </si>
  <si>
    <t>K 43 MOTOWIN M&amp;D</t>
  </si>
  <si>
    <t>K43</t>
  </si>
  <si>
    <t>K 43 MOTOWIN M&amp;D SGI WILSSON CCALLA MESTAS</t>
  </si>
  <si>
    <t>K 44 MOTOWIN M&amp;D</t>
  </si>
  <si>
    <t>K44</t>
  </si>
  <si>
    <t>K 44 MOTOWIN M&amp;D SGI CESAR AUGUSTO SALAS ARANGUREN</t>
  </si>
  <si>
    <t>K 45 MOTOWIN M&amp;D</t>
  </si>
  <si>
    <t>K45</t>
  </si>
  <si>
    <t>K 45 MOTOWIN M&amp;D SGI JHONATAN JOAQUIN VASQUEZ</t>
  </si>
  <si>
    <t>K 46 MOTOWIN M&amp;D</t>
  </si>
  <si>
    <t>K46</t>
  </si>
  <si>
    <t>K 46  MOTOWIN M&amp;D SGI  RENZO DANIEL SANCHEZ CAMPOS</t>
  </si>
  <si>
    <t xml:space="preserve">MULTIZONA </t>
  </si>
  <si>
    <t>K 47 MOTOWIN M&amp;D</t>
  </si>
  <si>
    <t>K47</t>
  </si>
  <si>
    <t>K 48 MOTOWIN M&amp;D</t>
  </si>
  <si>
    <t>K48</t>
  </si>
  <si>
    <t xml:space="preserve">K 48  MOTOWIN M&amp;D SGI  MARCO ANTONIO RIOS ROMERO </t>
  </si>
  <si>
    <t>K 49 MOTOWIN M&amp;D</t>
  </si>
  <si>
    <t>K49</t>
  </si>
  <si>
    <t>K 49  MOTOWIN M&amp;D SGI YERICSON BREMER TIRAPO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</si>
</sst>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 Light"/>
      <family val="2"/>
    </font>
    <font>
      <b/>
      <sz val="8"/>
      <color theme="0"/>
      <name val="Calibri"/>
      <family val="2"/>
    </font>
    <font>
      <sz val="8"/>
      <name val="Calibri Light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66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8" fillId="0" borderId="2" xfId="0" applyFont="1" applyBorder="1"/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2" xfId="0" applyFont="1" applyFill="1" applyBorder="1"/>
  </cellXfs>
  <cellStyles count="2">
    <cellStyle name="Normal" xfId="0" builtinId="0"/>
    <cellStyle name="Normal 2" xfId="1" xr:uid="{D6254412-350E-4099-B48C-4F2C5CD1C25D}"/>
  </cellStyles>
  <dxfs count="20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E88C-9580-47A2-A0AD-F1DA7EA300D1}">
  <dimension ref="A1:O83"/>
  <sheetViews>
    <sheetView tabSelected="1" workbookViewId="0">
      <selection activeCell="N13" sqref="N13"/>
    </sheetView>
  </sheetViews>
  <sheetFormatPr baseColWidth="10" defaultColWidth="10.5703125" defaultRowHeight="15" x14ac:dyDescent="0.25"/>
  <cols>
    <col min="1" max="1" width="6.140625" customWidth="1"/>
    <col min="2" max="2" width="10" customWidth="1"/>
    <col min="3" max="3" width="6.28515625" customWidth="1"/>
    <col min="4" max="4" width="7.5703125" customWidth="1"/>
    <col min="5" max="5" width="38" customWidth="1"/>
    <col min="6" max="6" width="8.85546875" customWidth="1"/>
    <col min="7" max="7" width="12" customWidth="1"/>
    <col min="8" max="8" width="10.140625" customWidth="1"/>
    <col min="9" max="10" width="9.7109375" customWidth="1"/>
    <col min="11" max="11" width="9.85546875" customWidth="1"/>
    <col min="12" max="13" width="9.140625" customWidth="1"/>
    <col min="14" max="14" width="10.28515625" customWidth="1"/>
    <col min="15" max="15" width="8.5703125" customWidth="1"/>
  </cols>
  <sheetData>
    <row r="1" spans="1:15" x14ac:dyDescent="0.25">
      <c r="A1" s="1"/>
      <c r="B1" s="2"/>
      <c r="C1" s="2"/>
      <c r="D1" s="2"/>
      <c r="E1" s="2"/>
      <c r="F1" s="1"/>
      <c r="G1" s="2"/>
      <c r="H1" s="3" t="s">
        <v>0</v>
      </c>
      <c r="I1" s="3" t="s">
        <v>1</v>
      </c>
      <c r="J1" s="4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5"/>
    </row>
    <row r="2" spans="1:15" x14ac:dyDescent="0.25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8" t="s">
        <v>13</v>
      </c>
      <c r="H2" s="9">
        <v>46206</v>
      </c>
      <c r="I2" s="9">
        <v>46207</v>
      </c>
      <c r="J2" s="9">
        <v>46208</v>
      </c>
      <c r="K2" s="9">
        <v>46209</v>
      </c>
      <c r="L2" s="9">
        <v>46210</v>
      </c>
      <c r="M2" s="9">
        <v>46211</v>
      </c>
      <c r="N2" s="9">
        <v>46212</v>
      </c>
      <c r="O2" s="10" t="s">
        <v>14</v>
      </c>
    </row>
    <row r="3" spans="1:15" x14ac:dyDescent="0.25">
      <c r="A3" s="11">
        <v>1</v>
      </c>
      <c r="B3" s="12" t="s">
        <v>15</v>
      </c>
      <c r="C3" s="12" t="s">
        <v>16</v>
      </c>
      <c r="D3" s="11" t="s">
        <v>17</v>
      </c>
      <c r="E3" s="21" t="s">
        <v>18</v>
      </c>
      <c r="F3" s="13" t="s">
        <v>19</v>
      </c>
      <c r="G3" s="14"/>
      <c r="H3" s="15" t="s">
        <v>20</v>
      </c>
      <c r="I3" s="15" t="s">
        <v>20</v>
      </c>
      <c r="J3" s="15" t="s">
        <v>21</v>
      </c>
      <c r="K3" s="15" t="s">
        <v>20</v>
      </c>
      <c r="L3" s="15" t="s">
        <v>20</v>
      </c>
      <c r="M3" s="15" t="s">
        <v>20</v>
      </c>
      <c r="N3" s="15" t="s">
        <v>20</v>
      </c>
      <c r="O3" s="16">
        <f t="shared" ref="O3:O66" si="0">COUNTIF(H3:N3,"a")</f>
        <v>6</v>
      </c>
    </row>
    <row r="4" spans="1:15" x14ac:dyDescent="0.25">
      <c r="A4" s="11">
        <v>2</v>
      </c>
      <c r="B4" s="12" t="s">
        <v>22</v>
      </c>
      <c r="C4" s="12" t="s">
        <v>16</v>
      </c>
      <c r="D4" s="11" t="s">
        <v>23</v>
      </c>
      <c r="E4" s="21" t="s">
        <v>24</v>
      </c>
      <c r="F4" s="17" t="s">
        <v>25</v>
      </c>
      <c r="G4" s="14"/>
      <c r="H4" s="15" t="s">
        <v>20</v>
      </c>
      <c r="I4" s="15" t="s">
        <v>20</v>
      </c>
      <c r="J4" s="15" t="s">
        <v>20</v>
      </c>
      <c r="K4" s="15" t="s">
        <v>21</v>
      </c>
      <c r="L4" s="15" t="s">
        <v>20</v>
      </c>
      <c r="M4" s="15" t="s">
        <v>20</v>
      </c>
      <c r="N4" s="15" t="s">
        <v>20</v>
      </c>
      <c r="O4" s="16">
        <f t="shared" si="0"/>
        <v>6</v>
      </c>
    </row>
    <row r="5" spans="1:15" x14ac:dyDescent="0.25">
      <c r="A5" s="11">
        <v>3</v>
      </c>
      <c r="B5" s="12" t="s">
        <v>26</v>
      </c>
      <c r="C5" s="12" t="s">
        <v>16</v>
      </c>
      <c r="D5" s="11" t="s">
        <v>27</v>
      </c>
      <c r="E5" s="21"/>
      <c r="F5" s="13"/>
      <c r="G5" s="14"/>
      <c r="H5" s="15"/>
      <c r="I5" s="15"/>
      <c r="J5" s="15"/>
      <c r="K5" s="15"/>
      <c r="L5" s="15"/>
      <c r="M5" s="15"/>
      <c r="N5" s="15"/>
      <c r="O5" s="16">
        <f t="shared" si="0"/>
        <v>0</v>
      </c>
    </row>
    <row r="6" spans="1:15" x14ac:dyDescent="0.25">
      <c r="A6" s="11">
        <v>4</v>
      </c>
      <c r="B6" s="12" t="s">
        <v>28</v>
      </c>
      <c r="C6" s="12" t="s">
        <v>16</v>
      </c>
      <c r="D6" s="11" t="s">
        <v>29</v>
      </c>
      <c r="E6" s="21"/>
      <c r="F6" s="17"/>
      <c r="G6" s="14"/>
      <c r="H6" s="15"/>
      <c r="I6" s="15"/>
      <c r="J6" s="15"/>
      <c r="K6" s="15"/>
      <c r="L6" s="15"/>
      <c r="M6" s="15"/>
      <c r="N6" s="15"/>
      <c r="O6" s="16">
        <f t="shared" si="0"/>
        <v>0</v>
      </c>
    </row>
    <row r="7" spans="1:15" x14ac:dyDescent="0.25">
      <c r="A7" s="11">
        <v>5</v>
      </c>
      <c r="B7" s="12" t="s">
        <v>30</v>
      </c>
      <c r="C7" s="12" t="s">
        <v>16</v>
      </c>
      <c r="D7" s="11" t="s">
        <v>31</v>
      </c>
      <c r="E7" s="21" t="s">
        <v>32</v>
      </c>
      <c r="F7" s="17" t="s">
        <v>33</v>
      </c>
      <c r="G7" s="14"/>
      <c r="H7" s="15" t="s">
        <v>20</v>
      </c>
      <c r="I7" s="15" t="s">
        <v>20</v>
      </c>
      <c r="J7" s="15" t="s">
        <v>20</v>
      </c>
      <c r="K7" s="15" t="s">
        <v>21</v>
      </c>
      <c r="L7" s="15" t="s">
        <v>20</v>
      </c>
      <c r="M7" s="15" t="s">
        <v>20</v>
      </c>
      <c r="N7" s="15" t="s">
        <v>20</v>
      </c>
      <c r="O7" s="16">
        <f t="shared" si="0"/>
        <v>6</v>
      </c>
    </row>
    <row r="8" spans="1:15" x14ac:dyDescent="0.25">
      <c r="A8" s="11">
        <v>6</v>
      </c>
      <c r="B8" s="12" t="s">
        <v>34</v>
      </c>
      <c r="C8" s="12" t="s">
        <v>16</v>
      </c>
      <c r="D8" s="11" t="s">
        <v>35</v>
      </c>
      <c r="E8" s="21"/>
      <c r="F8" s="17"/>
      <c r="G8" s="14"/>
      <c r="H8" s="15"/>
      <c r="I8" s="15"/>
      <c r="J8" s="15"/>
      <c r="K8" s="15"/>
      <c r="L8" s="15"/>
      <c r="M8" s="15"/>
      <c r="N8" s="15"/>
      <c r="O8" s="16">
        <f t="shared" si="0"/>
        <v>0</v>
      </c>
    </row>
    <row r="9" spans="1:15" x14ac:dyDescent="0.25">
      <c r="A9" s="11">
        <v>7</v>
      </c>
      <c r="B9" s="12" t="s">
        <v>36</v>
      </c>
      <c r="C9" s="12" t="s">
        <v>16</v>
      </c>
      <c r="D9" s="11" t="s">
        <v>37</v>
      </c>
      <c r="E9" s="21"/>
      <c r="F9" s="17"/>
      <c r="G9" s="14"/>
      <c r="H9" s="15"/>
      <c r="I9" s="15"/>
      <c r="J9" s="15"/>
      <c r="K9" s="15"/>
      <c r="L9" s="15"/>
      <c r="M9" s="15"/>
      <c r="N9" s="15"/>
      <c r="O9" s="16">
        <f t="shared" si="0"/>
        <v>0</v>
      </c>
    </row>
    <row r="10" spans="1:15" x14ac:dyDescent="0.25">
      <c r="A10" s="11">
        <v>8</v>
      </c>
      <c r="B10" s="12" t="s">
        <v>38</v>
      </c>
      <c r="C10" s="12" t="s">
        <v>16</v>
      </c>
      <c r="D10" s="11" t="s">
        <v>39</v>
      </c>
      <c r="E10" s="21" t="s">
        <v>40</v>
      </c>
      <c r="F10" s="13" t="s">
        <v>41</v>
      </c>
      <c r="G10" s="14"/>
      <c r="H10" s="15" t="s">
        <v>20</v>
      </c>
      <c r="I10" s="15" t="s">
        <v>20</v>
      </c>
      <c r="J10" s="15" t="s">
        <v>20</v>
      </c>
      <c r="K10" s="15" t="s">
        <v>21</v>
      </c>
      <c r="L10" s="15" t="s">
        <v>20</v>
      </c>
      <c r="M10" s="15" t="s">
        <v>20</v>
      </c>
      <c r="N10" s="15" t="s">
        <v>20</v>
      </c>
      <c r="O10" s="16">
        <f t="shared" si="0"/>
        <v>6</v>
      </c>
    </row>
    <row r="11" spans="1:15" x14ac:dyDescent="0.25">
      <c r="A11" s="11">
        <v>9</v>
      </c>
      <c r="B11" s="12" t="s">
        <v>42</v>
      </c>
      <c r="C11" s="12" t="s">
        <v>16</v>
      </c>
      <c r="D11" s="11" t="s">
        <v>43</v>
      </c>
      <c r="E11" s="21"/>
      <c r="F11" s="17"/>
      <c r="G11" s="14"/>
      <c r="H11" s="15"/>
      <c r="I11" s="15"/>
      <c r="J11" s="15"/>
      <c r="K11" s="15"/>
      <c r="L11" s="15"/>
      <c r="M11" s="15"/>
      <c r="N11" s="15"/>
      <c r="O11" s="16">
        <f t="shared" si="0"/>
        <v>0</v>
      </c>
    </row>
    <row r="12" spans="1:15" x14ac:dyDescent="0.25">
      <c r="A12" s="11">
        <v>10</v>
      </c>
      <c r="B12" s="12" t="s">
        <v>44</v>
      </c>
      <c r="C12" s="12" t="s">
        <v>16</v>
      </c>
      <c r="D12" s="11" t="s">
        <v>45</v>
      </c>
      <c r="E12" s="21" t="s">
        <v>46</v>
      </c>
      <c r="F12" s="17" t="s">
        <v>25</v>
      </c>
      <c r="G12" s="14"/>
      <c r="H12" s="15" t="s">
        <v>20</v>
      </c>
      <c r="I12" s="15" t="s">
        <v>20</v>
      </c>
      <c r="J12" s="15" t="s">
        <v>20</v>
      </c>
      <c r="K12" s="15" t="s">
        <v>20</v>
      </c>
      <c r="L12" s="15" t="s">
        <v>20</v>
      </c>
      <c r="M12" s="15" t="s">
        <v>20</v>
      </c>
      <c r="N12" s="15" t="s">
        <v>20</v>
      </c>
      <c r="O12" s="16">
        <f t="shared" si="0"/>
        <v>7</v>
      </c>
    </row>
    <row r="13" spans="1:15" x14ac:dyDescent="0.25">
      <c r="A13" s="11">
        <v>11</v>
      </c>
      <c r="B13" s="12" t="s">
        <v>47</v>
      </c>
      <c r="C13" s="12" t="s">
        <v>16</v>
      </c>
      <c r="D13" s="11" t="s">
        <v>48</v>
      </c>
      <c r="E13" s="21"/>
      <c r="F13" s="17"/>
      <c r="G13" s="14"/>
      <c r="H13" s="15"/>
      <c r="I13" s="15"/>
      <c r="J13" s="15"/>
      <c r="K13" s="15"/>
      <c r="L13" s="15"/>
      <c r="M13" s="15"/>
      <c r="N13" s="15"/>
      <c r="O13" s="16">
        <f t="shared" si="0"/>
        <v>0</v>
      </c>
    </row>
    <row r="14" spans="1:15" x14ac:dyDescent="0.25">
      <c r="A14" s="11">
        <v>12</v>
      </c>
      <c r="B14" s="12" t="s">
        <v>49</v>
      </c>
      <c r="C14" s="12" t="s">
        <v>16</v>
      </c>
      <c r="D14" s="11" t="s">
        <v>50</v>
      </c>
      <c r="E14" s="21"/>
      <c r="F14" s="17"/>
      <c r="G14" s="14"/>
      <c r="H14" s="15"/>
      <c r="I14" s="15"/>
      <c r="J14" s="15"/>
      <c r="K14" s="15"/>
      <c r="L14" s="15"/>
      <c r="M14" s="15"/>
      <c r="N14" s="15"/>
      <c r="O14" s="16">
        <f t="shared" si="0"/>
        <v>0</v>
      </c>
    </row>
    <row r="15" spans="1:15" x14ac:dyDescent="0.25">
      <c r="A15" s="11">
        <v>13</v>
      </c>
      <c r="B15" s="12" t="s">
        <v>51</v>
      </c>
      <c r="C15" s="12" t="s">
        <v>16</v>
      </c>
      <c r="D15" s="11" t="s">
        <v>52</v>
      </c>
      <c r="E15" s="21" t="s">
        <v>53</v>
      </c>
      <c r="F15" s="17" t="s">
        <v>41</v>
      </c>
      <c r="G15" s="14"/>
      <c r="H15" s="15" t="s">
        <v>21</v>
      </c>
      <c r="I15" s="15" t="s">
        <v>20</v>
      </c>
      <c r="J15" s="15" t="s">
        <v>20</v>
      </c>
      <c r="K15" s="15" t="s">
        <v>20</v>
      </c>
      <c r="L15" s="15" t="s">
        <v>20</v>
      </c>
      <c r="M15" s="15" t="s">
        <v>20</v>
      </c>
      <c r="N15" s="15" t="s">
        <v>20</v>
      </c>
      <c r="O15" s="16">
        <f t="shared" si="0"/>
        <v>6</v>
      </c>
    </row>
    <row r="16" spans="1:15" x14ac:dyDescent="0.25">
      <c r="A16" s="11">
        <v>14</v>
      </c>
      <c r="B16" s="12" t="s">
        <v>54</v>
      </c>
      <c r="C16" s="12" t="s">
        <v>16</v>
      </c>
      <c r="D16" s="11" t="s">
        <v>55</v>
      </c>
      <c r="E16" s="21" t="s">
        <v>56</v>
      </c>
      <c r="F16" s="17" t="s">
        <v>33</v>
      </c>
      <c r="G16" s="14"/>
      <c r="H16" s="15" t="s">
        <v>20</v>
      </c>
      <c r="I16" s="15" t="s">
        <v>20</v>
      </c>
      <c r="J16" s="15" t="s">
        <v>20</v>
      </c>
      <c r="K16" s="15" t="s">
        <v>21</v>
      </c>
      <c r="L16" s="15" t="s">
        <v>20</v>
      </c>
      <c r="M16" s="15" t="s">
        <v>20</v>
      </c>
      <c r="N16" s="15" t="s">
        <v>20</v>
      </c>
      <c r="O16" s="16">
        <f t="shared" si="0"/>
        <v>6</v>
      </c>
    </row>
    <row r="17" spans="1:15" x14ac:dyDescent="0.25">
      <c r="A17" s="11">
        <v>15</v>
      </c>
      <c r="B17" s="12" t="s">
        <v>57</v>
      </c>
      <c r="C17" s="12" t="s">
        <v>16</v>
      </c>
      <c r="D17" s="11" t="s">
        <v>58</v>
      </c>
      <c r="E17" s="21" t="s">
        <v>59</v>
      </c>
      <c r="F17" s="17" t="s">
        <v>25</v>
      </c>
      <c r="G17" s="14"/>
      <c r="H17" s="15" t="s">
        <v>20</v>
      </c>
      <c r="I17" s="15" t="s">
        <v>20</v>
      </c>
      <c r="J17" s="15" t="s">
        <v>20</v>
      </c>
      <c r="K17" s="15" t="s">
        <v>20</v>
      </c>
      <c r="L17" s="15" t="s">
        <v>20</v>
      </c>
      <c r="M17" s="15" t="s">
        <v>20</v>
      </c>
      <c r="N17" s="15" t="s">
        <v>20</v>
      </c>
      <c r="O17" s="16">
        <f t="shared" si="0"/>
        <v>7</v>
      </c>
    </row>
    <row r="18" spans="1:15" x14ac:dyDescent="0.25">
      <c r="A18" s="11">
        <v>16</v>
      </c>
      <c r="B18" s="12" t="s">
        <v>60</v>
      </c>
      <c r="C18" s="12" t="s">
        <v>16</v>
      </c>
      <c r="D18" s="11" t="s">
        <v>61</v>
      </c>
      <c r="E18" s="21"/>
      <c r="F18" s="18"/>
      <c r="G18" s="14"/>
      <c r="H18" s="15"/>
      <c r="I18" s="15"/>
      <c r="J18" s="15"/>
      <c r="K18" s="15"/>
      <c r="L18" s="15"/>
      <c r="M18" s="15"/>
      <c r="N18" s="15"/>
      <c r="O18" s="16">
        <f t="shared" si="0"/>
        <v>0</v>
      </c>
    </row>
    <row r="19" spans="1:15" x14ac:dyDescent="0.25">
      <c r="A19" s="11">
        <v>17</v>
      </c>
      <c r="B19" s="12" t="s">
        <v>62</v>
      </c>
      <c r="C19" s="12" t="s">
        <v>16</v>
      </c>
      <c r="D19" s="11" t="s">
        <v>63</v>
      </c>
      <c r="E19" s="21" t="s">
        <v>64</v>
      </c>
      <c r="F19" s="17" t="s">
        <v>33</v>
      </c>
      <c r="G19" s="14"/>
      <c r="H19" s="15" t="s">
        <v>20</v>
      </c>
      <c r="I19" s="15" t="s">
        <v>20</v>
      </c>
      <c r="J19" s="15" t="s">
        <v>21</v>
      </c>
      <c r="K19" s="15" t="s">
        <v>20</v>
      </c>
      <c r="L19" s="15" t="s">
        <v>20</v>
      </c>
      <c r="M19" s="15" t="s">
        <v>20</v>
      </c>
      <c r="N19" s="15" t="s">
        <v>20</v>
      </c>
      <c r="O19" s="16">
        <f t="shared" si="0"/>
        <v>6</v>
      </c>
    </row>
    <row r="20" spans="1:15" x14ac:dyDescent="0.25">
      <c r="A20" s="11">
        <v>18</v>
      </c>
      <c r="B20" s="12" t="s">
        <v>65</v>
      </c>
      <c r="C20" s="12" t="s">
        <v>16</v>
      </c>
      <c r="D20" s="11" t="s">
        <v>66</v>
      </c>
      <c r="E20" s="21"/>
      <c r="F20" s="18"/>
      <c r="G20" s="14"/>
      <c r="H20" s="15"/>
      <c r="I20" s="15"/>
      <c r="J20" s="15"/>
      <c r="K20" s="15"/>
      <c r="L20" s="15"/>
      <c r="M20" s="15"/>
      <c r="N20" s="15"/>
      <c r="O20" s="16">
        <f t="shared" si="0"/>
        <v>0</v>
      </c>
    </row>
    <row r="21" spans="1:15" x14ac:dyDescent="0.25">
      <c r="A21" s="11">
        <v>19</v>
      </c>
      <c r="B21" s="12" t="s">
        <v>67</v>
      </c>
      <c r="C21" s="12" t="s">
        <v>16</v>
      </c>
      <c r="D21" s="11" t="s">
        <v>68</v>
      </c>
      <c r="E21" s="21"/>
      <c r="F21" s="17"/>
      <c r="G21" s="14"/>
      <c r="H21" s="15"/>
      <c r="I21" s="15"/>
      <c r="J21" s="15"/>
      <c r="K21" s="15"/>
      <c r="L21" s="15"/>
      <c r="M21" s="15"/>
      <c r="N21" s="15"/>
      <c r="O21" s="16">
        <f t="shared" si="0"/>
        <v>0</v>
      </c>
    </row>
    <row r="22" spans="1:15" x14ac:dyDescent="0.25">
      <c r="A22" s="11">
        <v>20</v>
      </c>
      <c r="B22" s="12" t="s">
        <v>69</v>
      </c>
      <c r="C22" s="12" t="s">
        <v>16</v>
      </c>
      <c r="D22" s="11" t="s">
        <v>70</v>
      </c>
      <c r="E22" s="21"/>
      <c r="F22" s="17"/>
      <c r="G22" s="14"/>
      <c r="H22" s="15"/>
      <c r="I22" s="15"/>
      <c r="J22" s="15"/>
      <c r="K22" s="15"/>
      <c r="L22" s="15"/>
      <c r="M22" s="15"/>
      <c r="N22" s="15"/>
      <c r="O22" s="16">
        <f t="shared" si="0"/>
        <v>0</v>
      </c>
    </row>
    <row r="23" spans="1:15" x14ac:dyDescent="0.25">
      <c r="A23" s="11">
        <v>21</v>
      </c>
      <c r="B23" s="12" t="s">
        <v>71</v>
      </c>
      <c r="C23" s="12" t="s">
        <v>16</v>
      </c>
      <c r="D23" s="11" t="s">
        <v>72</v>
      </c>
      <c r="E23" s="21"/>
      <c r="F23" s="13"/>
      <c r="G23" s="14"/>
      <c r="H23" s="15"/>
      <c r="I23" s="15"/>
      <c r="J23" s="15"/>
      <c r="K23" s="15"/>
      <c r="L23" s="15"/>
      <c r="M23" s="15"/>
      <c r="N23" s="15"/>
      <c r="O23" s="16">
        <f t="shared" si="0"/>
        <v>0</v>
      </c>
    </row>
    <row r="24" spans="1:15" x14ac:dyDescent="0.25">
      <c r="A24" s="11">
        <v>22</v>
      </c>
      <c r="B24" s="12" t="s">
        <v>73</v>
      </c>
      <c r="C24" s="12" t="s">
        <v>16</v>
      </c>
      <c r="D24" s="11" t="s">
        <v>74</v>
      </c>
      <c r="E24" s="21"/>
      <c r="F24" s="17"/>
      <c r="G24" s="14"/>
      <c r="H24" s="15"/>
      <c r="I24" s="15"/>
      <c r="J24" s="15"/>
      <c r="K24" s="15"/>
      <c r="L24" s="15"/>
      <c r="M24" s="15"/>
      <c r="N24" s="15"/>
      <c r="O24" s="16">
        <f t="shared" si="0"/>
        <v>0</v>
      </c>
    </row>
    <row r="25" spans="1:15" x14ac:dyDescent="0.25">
      <c r="A25" s="11">
        <v>23</v>
      </c>
      <c r="B25" s="12" t="s">
        <v>75</v>
      </c>
      <c r="C25" s="12" t="s">
        <v>16</v>
      </c>
      <c r="D25" s="11" t="s">
        <v>76</v>
      </c>
      <c r="E25" s="21" t="s">
        <v>77</v>
      </c>
      <c r="F25" s="13" t="s">
        <v>19</v>
      </c>
      <c r="G25" s="14"/>
      <c r="H25" s="15" t="s">
        <v>20</v>
      </c>
      <c r="I25" s="15" t="s">
        <v>20</v>
      </c>
      <c r="J25" s="15" t="s">
        <v>21</v>
      </c>
      <c r="K25" s="15" t="s">
        <v>20</v>
      </c>
      <c r="L25" s="15" t="s">
        <v>20</v>
      </c>
      <c r="M25" s="15" t="s">
        <v>20</v>
      </c>
      <c r="N25" s="15" t="s">
        <v>20</v>
      </c>
      <c r="O25" s="16">
        <f t="shared" si="0"/>
        <v>6</v>
      </c>
    </row>
    <row r="26" spans="1:15" x14ac:dyDescent="0.25">
      <c r="A26" s="11">
        <v>24</v>
      </c>
      <c r="B26" s="12" t="s">
        <v>78</v>
      </c>
      <c r="C26" s="12" t="s">
        <v>16</v>
      </c>
      <c r="D26" s="11" t="s">
        <v>79</v>
      </c>
      <c r="E26" s="21"/>
      <c r="F26" s="13"/>
      <c r="G26" s="14"/>
      <c r="H26" s="15"/>
      <c r="I26" s="15"/>
      <c r="J26" s="15"/>
      <c r="K26" s="15"/>
      <c r="L26" s="15"/>
      <c r="M26" s="15"/>
      <c r="N26" s="15"/>
      <c r="O26" s="16">
        <f t="shared" si="0"/>
        <v>0</v>
      </c>
    </row>
    <row r="27" spans="1:15" x14ac:dyDescent="0.25">
      <c r="A27" s="11">
        <v>25</v>
      </c>
      <c r="B27" s="12" t="s">
        <v>80</v>
      </c>
      <c r="C27" s="12" t="s">
        <v>16</v>
      </c>
      <c r="D27" s="11" t="s">
        <v>81</v>
      </c>
      <c r="E27" s="21"/>
      <c r="F27" s="13"/>
      <c r="G27" s="14"/>
      <c r="H27" s="15"/>
      <c r="I27" s="15"/>
      <c r="J27" s="15"/>
      <c r="K27" s="15"/>
      <c r="L27" s="15"/>
      <c r="M27" s="15"/>
      <c r="N27" s="15"/>
      <c r="O27" s="16">
        <f t="shared" si="0"/>
        <v>0</v>
      </c>
    </row>
    <row r="28" spans="1:15" x14ac:dyDescent="0.25">
      <c r="A28" s="11">
        <v>26</v>
      </c>
      <c r="B28" s="12" t="s">
        <v>82</v>
      </c>
      <c r="C28" s="12" t="s">
        <v>16</v>
      </c>
      <c r="D28" s="11" t="s">
        <v>83</v>
      </c>
      <c r="E28" s="21"/>
      <c r="F28" s="17"/>
      <c r="G28" s="14"/>
      <c r="H28" s="15"/>
      <c r="I28" s="15"/>
      <c r="J28" s="15"/>
      <c r="K28" s="15"/>
      <c r="L28" s="15"/>
      <c r="M28" s="15"/>
      <c r="N28" s="15"/>
      <c r="O28" s="16">
        <f t="shared" si="0"/>
        <v>0</v>
      </c>
    </row>
    <row r="29" spans="1:15" x14ac:dyDescent="0.25">
      <c r="A29" s="11">
        <v>27</v>
      </c>
      <c r="B29" s="12" t="s">
        <v>84</v>
      </c>
      <c r="C29" s="12" t="s">
        <v>16</v>
      </c>
      <c r="D29" s="11" t="s">
        <v>85</v>
      </c>
      <c r="E29" s="21" t="s">
        <v>86</v>
      </c>
      <c r="F29" s="17" t="s">
        <v>25</v>
      </c>
      <c r="G29" s="14"/>
      <c r="H29" s="15" t="s">
        <v>20</v>
      </c>
      <c r="I29" s="15" t="s">
        <v>20</v>
      </c>
      <c r="J29" s="15" t="s">
        <v>21</v>
      </c>
      <c r="K29" s="15" t="s">
        <v>20</v>
      </c>
      <c r="L29" s="15" t="s">
        <v>20</v>
      </c>
      <c r="M29" s="15" t="s">
        <v>20</v>
      </c>
      <c r="N29" s="15" t="s">
        <v>20</v>
      </c>
      <c r="O29" s="16">
        <f t="shared" si="0"/>
        <v>6</v>
      </c>
    </row>
    <row r="30" spans="1:15" x14ac:dyDescent="0.25">
      <c r="A30" s="11">
        <v>28</v>
      </c>
      <c r="B30" s="12" t="s">
        <v>87</v>
      </c>
      <c r="C30" s="12" t="s">
        <v>16</v>
      </c>
      <c r="D30" s="11" t="s">
        <v>88</v>
      </c>
      <c r="E30" s="21" t="s">
        <v>89</v>
      </c>
      <c r="F30" s="17" t="s">
        <v>25</v>
      </c>
      <c r="G30" s="14"/>
      <c r="H30" s="15" t="s">
        <v>20</v>
      </c>
      <c r="I30" s="15" t="s">
        <v>20</v>
      </c>
      <c r="J30" s="15" t="s">
        <v>21</v>
      </c>
      <c r="K30" s="15" t="s">
        <v>20</v>
      </c>
      <c r="L30" s="15" t="s">
        <v>20</v>
      </c>
      <c r="M30" s="15" t="s">
        <v>20</v>
      </c>
      <c r="N30" s="15" t="s">
        <v>20</v>
      </c>
      <c r="O30" s="16">
        <f t="shared" si="0"/>
        <v>6</v>
      </c>
    </row>
    <row r="31" spans="1:15" x14ac:dyDescent="0.25">
      <c r="A31" s="11">
        <v>29</v>
      </c>
      <c r="B31" s="12" t="s">
        <v>90</v>
      </c>
      <c r="C31" s="12" t="s">
        <v>16</v>
      </c>
      <c r="D31" s="11" t="s">
        <v>91</v>
      </c>
      <c r="E31" s="21"/>
      <c r="F31" s="13"/>
      <c r="G31" s="14"/>
      <c r="H31" s="15"/>
      <c r="I31" s="15"/>
      <c r="J31" s="15"/>
      <c r="K31" s="15"/>
      <c r="L31" s="15"/>
      <c r="M31" s="15"/>
      <c r="N31" s="15"/>
      <c r="O31" s="16">
        <f t="shared" si="0"/>
        <v>0</v>
      </c>
    </row>
    <row r="32" spans="1:15" x14ac:dyDescent="0.25">
      <c r="A32" s="11">
        <v>30</v>
      </c>
      <c r="B32" s="12" t="s">
        <v>92</v>
      </c>
      <c r="C32" s="12" t="s">
        <v>16</v>
      </c>
      <c r="D32" s="11" t="s">
        <v>93</v>
      </c>
      <c r="E32" s="21" t="s">
        <v>94</v>
      </c>
      <c r="F32" s="17" t="s">
        <v>95</v>
      </c>
      <c r="G32" s="14"/>
      <c r="H32" s="15" t="s">
        <v>20</v>
      </c>
      <c r="I32" s="15" t="s">
        <v>20</v>
      </c>
      <c r="J32" s="15" t="s">
        <v>21</v>
      </c>
      <c r="K32" s="15" t="s">
        <v>20</v>
      </c>
      <c r="L32" s="15" t="s">
        <v>20</v>
      </c>
      <c r="M32" s="15" t="s">
        <v>20</v>
      </c>
      <c r="N32" s="15" t="s">
        <v>20</v>
      </c>
      <c r="O32" s="16">
        <f t="shared" si="0"/>
        <v>6</v>
      </c>
    </row>
    <row r="33" spans="1:15" x14ac:dyDescent="0.25">
      <c r="A33" s="11">
        <v>31</v>
      </c>
      <c r="B33" s="12" t="s">
        <v>96</v>
      </c>
      <c r="C33" s="12" t="s">
        <v>16</v>
      </c>
      <c r="D33" s="11" t="s">
        <v>97</v>
      </c>
      <c r="E33" s="21" t="s">
        <v>98</v>
      </c>
      <c r="F33" s="13" t="s">
        <v>99</v>
      </c>
      <c r="G33" s="14"/>
      <c r="H33" s="15" t="s">
        <v>20</v>
      </c>
      <c r="I33" s="15" t="s">
        <v>20</v>
      </c>
      <c r="J33" s="15" t="s">
        <v>20</v>
      </c>
      <c r="K33" s="15" t="s">
        <v>21</v>
      </c>
      <c r="L33" s="15" t="s">
        <v>20</v>
      </c>
      <c r="M33" s="15" t="s">
        <v>20</v>
      </c>
      <c r="N33" s="15" t="s">
        <v>20</v>
      </c>
      <c r="O33" s="16">
        <f t="shared" si="0"/>
        <v>6</v>
      </c>
    </row>
    <row r="34" spans="1:15" x14ac:dyDescent="0.25">
      <c r="A34" s="11">
        <v>32</v>
      </c>
      <c r="B34" s="12" t="s">
        <v>100</v>
      </c>
      <c r="C34" s="12" t="s">
        <v>16</v>
      </c>
      <c r="D34" s="11" t="s">
        <v>101</v>
      </c>
      <c r="E34" s="21" t="s">
        <v>102</v>
      </c>
      <c r="F34" s="17" t="s">
        <v>95</v>
      </c>
      <c r="G34" s="14"/>
      <c r="H34" s="15" t="s">
        <v>20</v>
      </c>
      <c r="I34" s="15" t="s">
        <v>20</v>
      </c>
      <c r="J34" s="15" t="s">
        <v>20</v>
      </c>
      <c r="K34" s="15" t="s">
        <v>21</v>
      </c>
      <c r="L34" s="15" t="s">
        <v>20</v>
      </c>
      <c r="M34" s="15" t="s">
        <v>20</v>
      </c>
      <c r="N34" s="15" t="s">
        <v>20</v>
      </c>
      <c r="O34" s="16">
        <f t="shared" si="0"/>
        <v>6</v>
      </c>
    </row>
    <row r="35" spans="1:15" x14ac:dyDescent="0.25">
      <c r="A35" s="11">
        <v>1</v>
      </c>
      <c r="B35" s="19" t="s">
        <v>103</v>
      </c>
      <c r="C35" s="19" t="s">
        <v>104</v>
      </c>
      <c r="D35" s="11" t="s">
        <v>17</v>
      </c>
      <c r="E35" s="21" t="s">
        <v>105</v>
      </c>
      <c r="F35" s="17" t="s">
        <v>33</v>
      </c>
      <c r="G35" s="14"/>
      <c r="H35" s="15" t="s">
        <v>20</v>
      </c>
      <c r="I35" s="15" t="s">
        <v>20</v>
      </c>
      <c r="J35" s="15" t="s">
        <v>20</v>
      </c>
      <c r="K35" s="15" t="s">
        <v>20</v>
      </c>
      <c r="L35" s="15" t="s">
        <v>20</v>
      </c>
      <c r="M35" s="15" t="s">
        <v>20</v>
      </c>
      <c r="N35" s="15" t="s">
        <v>20</v>
      </c>
      <c r="O35" s="16">
        <f t="shared" si="0"/>
        <v>7</v>
      </c>
    </row>
    <row r="36" spans="1:15" x14ac:dyDescent="0.25">
      <c r="A36" s="11">
        <v>2</v>
      </c>
      <c r="B36" s="19" t="s">
        <v>106</v>
      </c>
      <c r="C36" s="19" t="s">
        <v>104</v>
      </c>
      <c r="D36" s="11" t="s">
        <v>23</v>
      </c>
      <c r="E36" s="21" t="s">
        <v>107</v>
      </c>
      <c r="F36" s="17" t="s">
        <v>108</v>
      </c>
      <c r="G36" s="14"/>
      <c r="H36" s="15" t="s">
        <v>20</v>
      </c>
      <c r="I36" s="15" t="s">
        <v>20</v>
      </c>
      <c r="J36" s="15" t="s">
        <v>20</v>
      </c>
      <c r="K36" s="15" t="s">
        <v>20</v>
      </c>
      <c r="L36" s="15" t="s">
        <v>20</v>
      </c>
      <c r="M36" s="15" t="s">
        <v>20</v>
      </c>
      <c r="N36" s="15" t="s">
        <v>20</v>
      </c>
      <c r="O36" s="16">
        <f t="shared" si="0"/>
        <v>7</v>
      </c>
    </row>
    <row r="37" spans="1:15" x14ac:dyDescent="0.25">
      <c r="A37" s="11">
        <v>3</v>
      </c>
      <c r="B37" s="19" t="s">
        <v>109</v>
      </c>
      <c r="C37" s="19" t="s">
        <v>104</v>
      </c>
      <c r="D37" s="11" t="s">
        <v>27</v>
      </c>
      <c r="E37" s="21" t="s">
        <v>110</v>
      </c>
      <c r="F37" s="17" t="s">
        <v>33</v>
      </c>
      <c r="G37" s="14"/>
      <c r="H37" s="15" t="s">
        <v>20</v>
      </c>
      <c r="I37" s="15" t="s">
        <v>20</v>
      </c>
      <c r="J37" s="15" t="s">
        <v>20</v>
      </c>
      <c r="K37" s="15" t="s">
        <v>20</v>
      </c>
      <c r="L37" s="15" t="s">
        <v>21</v>
      </c>
      <c r="M37" s="15" t="s">
        <v>20</v>
      </c>
      <c r="N37" s="15" t="s">
        <v>20</v>
      </c>
      <c r="O37" s="16">
        <f t="shared" si="0"/>
        <v>6</v>
      </c>
    </row>
    <row r="38" spans="1:15" x14ac:dyDescent="0.25">
      <c r="A38" s="11">
        <v>4</v>
      </c>
      <c r="B38" s="19" t="s">
        <v>111</v>
      </c>
      <c r="C38" s="19" t="s">
        <v>104</v>
      </c>
      <c r="D38" s="11" t="s">
        <v>29</v>
      </c>
      <c r="E38" s="21" t="s">
        <v>112</v>
      </c>
      <c r="F38" s="17" t="s">
        <v>113</v>
      </c>
      <c r="G38" s="14"/>
      <c r="H38" s="15" t="s">
        <v>20</v>
      </c>
      <c r="I38" s="15" t="s">
        <v>21</v>
      </c>
      <c r="J38" s="15" t="s">
        <v>21</v>
      </c>
      <c r="K38" s="15" t="s">
        <v>20</v>
      </c>
      <c r="L38" s="15" t="s">
        <v>20</v>
      </c>
      <c r="M38" s="15" t="s">
        <v>20</v>
      </c>
      <c r="N38" s="15" t="s">
        <v>20</v>
      </c>
      <c r="O38" s="16">
        <f t="shared" si="0"/>
        <v>5</v>
      </c>
    </row>
    <row r="39" spans="1:15" x14ac:dyDescent="0.25">
      <c r="A39" s="11">
        <v>5</v>
      </c>
      <c r="B39" s="19" t="s">
        <v>114</v>
      </c>
      <c r="C39" s="19" t="s">
        <v>104</v>
      </c>
      <c r="D39" s="11" t="s">
        <v>31</v>
      </c>
      <c r="E39" s="21"/>
      <c r="F39" s="17"/>
      <c r="G39" s="14"/>
      <c r="H39" s="15"/>
      <c r="I39" s="15"/>
      <c r="J39" s="15"/>
      <c r="K39" s="15"/>
      <c r="L39" s="15"/>
      <c r="N39" s="15"/>
      <c r="O39" s="16">
        <f>COUNTIF(H39:N39,"a")</f>
        <v>0</v>
      </c>
    </row>
    <row r="40" spans="1:15" x14ac:dyDescent="0.25">
      <c r="A40" s="11">
        <v>6</v>
      </c>
      <c r="B40" s="19" t="s">
        <v>115</v>
      </c>
      <c r="C40" s="19" t="s">
        <v>104</v>
      </c>
      <c r="D40" s="11" t="s">
        <v>35</v>
      </c>
      <c r="E40" s="21" t="s">
        <v>116</v>
      </c>
      <c r="F40" s="17" t="s">
        <v>108</v>
      </c>
      <c r="G40" s="14"/>
      <c r="H40" s="15" t="s">
        <v>20</v>
      </c>
      <c r="I40" s="15" t="s">
        <v>20</v>
      </c>
      <c r="J40" s="15" t="s">
        <v>20</v>
      </c>
      <c r="K40" s="15" t="s">
        <v>20</v>
      </c>
      <c r="L40" s="15" t="s">
        <v>20</v>
      </c>
      <c r="M40" s="15" t="s">
        <v>20</v>
      </c>
      <c r="N40" s="15" t="s">
        <v>20</v>
      </c>
      <c r="O40" s="16">
        <f t="shared" si="0"/>
        <v>7</v>
      </c>
    </row>
    <row r="41" spans="1:15" x14ac:dyDescent="0.25">
      <c r="A41" s="11">
        <v>7</v>
      </c>
      <c r="B41" s="19" t="s">
        <v>117</v>
      </c>
      <c r="C41" s="19" t="s">
        <v>104</v>
      </c>
      <c r="D41" s="11" t="s">
        <v>37</v>
      </c>
      <c r="E41" s="21" t="s">
        <v>118</v>
      </c>
      <c r="F41" s="17" t="s">
        <v>108</v>
      </c>
      <c r="G41" s="14"/>
      <c r="H41" s="15" t="s">
        <v>20</v>
      </c>
      <c r="I41" s="15" t="s">
        <v>20</v>
      </c>
      <c r="J41" s="15" t="s">
        <v>21</v>
      </c>
      <c r="K41" s="15" t="s">
        <v>20</v>
      </c>
      <c r="L41" s="15" t="s">
        <v>20</v>
      </c>
      <c r="M41" s="15" t="s">
        <v>20</v>
      </c>
      <c r="N41" s="15" t="s">
        <v>20</v>
      </c>
      <c r="O41" s="16">
        <f t="shared" si="0"/>
        <v>6</v>
      </c>
    </row>
    <row r="42" spans="1:15" x14ac:dyDescent="0.25">
      <c r="A42" s="11">
        <v>8</v>
      </c>
      <c r="B42" s="19" t="s">
        <v>119</v>
      </c>
      <c r="C42" s="19" t="s">
        <v>104</v>
      </c>
      <c r="D42" s="11" t="s">
        <v>39</v>
      </c>
      <c r="E42" s="21" t="s">
        <v>120</v>
      </c>
      <c r="F42" s="17" t="s">
        <v>108</v>
      </c>
      <c r="G42" s="14"/>
      <c r="H42" s="15" t="s">
        <v>20</v>
      </c>
      <c r="I42" s="15" t="s">
        <v>20</v>
      </c>
      <c r="J42" s="15" t="s">
        <v>21</v>
      </c>
      <c r="K42" s="15" t="s">
        <v>20</v>
      </c>
      <c r="L42" s="15" t="s">
        <v>20</v>
      </c>
      <c r="M42" s="15" t="s">
        <v>20</v>
      </c>
      <c r="N42" s="15" t="s">
        <v>20</v>
      </c>
      <c r="O42" s="16">
        <f t="shared" si="0"/>
        <v>6</v>
      </c>
    </row>
    <row r="43" spans="1:15" x14ac:dyDescent="0.25">
      <c r="A43" s="11">
        <v>9</v>
      </c>
      <c r="B43" s="19" t="s">
        <v>121</v>
      </c>
      <c r="C43" s="19" t="s">
        <v>104</v>
      </c>
      <c r="D43" s="11" t="s">
        <v>43</v>
      </c>
      <c r="E43" s="21" t="s">
        <v>122</v>
      </c>
      <c r="F43" s="17" t="s">
        <v>33</v>
      </c>
      <c r="G43" s="14"/>
      <c r="H43" s="15" t="s">
        <v>20</v>
      </c>
      <c r="I43" s="15" t="s">
        <v>20</v>
      </c>
      <c r="J43" s="15" t="s">
        <v>20</v>
      </c>
      <c r="K43" s="15" t="s">
        <v>20</v>
      </c>
      <c r="L43" s="15" t="s">
        <v>20</v>
      </c>
      <c r="M43" s="15" t="s">
        <v>20</v>
      </c>
      <c r="N43" s="15" t="s">
        <v>20</v>
      </c>
      <c r="O43" s="16">
        <f t="shared" si="0"/>
        <v>7</v>
      </c>
    </row>
    <row r="44" spans="1:15" x14ac:dyDescent="0.25">
      <c r="A44" s="11">
        <v>10</v>
      </c>
      <c r="B44" s="19" t="s">
        <v>123</v>
      </c>
      <c r="C44" s="19" t="s">
        <v>104</v>
      </c>
      <c r="D44" s="11" t="s">
        <v>45</v>
      </c>
      <c r="E44" s="21" t="s">
        <v>124</v>
      </c>
      <c r="F44" s="17" t="s">
        <v>125</v>
      </c>
      <c r="G44" s="14"/>
      <c r="H44" s="15" t="s">
        <v>20</v>
      </c>
      <c r="I44" s="15" t="s">
        <v>20</v>
      </c>
      <c r="J44" s="15" t="s">
        <v>21</v>
      </c>
      <c r="K44" s="15" t="s">
        <v>20</v>
      </c>
      <c r="L44" s="15" t="s">
        <v>20</v>
      </c>
      <c r="M44" s="15" t="s">
        <v>20</v>
      </c>
      <c r="N44" s="15" t="s">
        <v>20</v>
      </c>
      <c r="O44" s="16">
        <f t="shared" si="0"/>
        <v>6</v>
      </c>
    </row>
    <row r="45" spans="1:15" x14ac:dyDescent="0.25">
      <c r="A45" s="11">
        <v>11</v>
      </c>
      <c r="B45" s="19" t="s">
        <v>126</v>
      </c>
      <c r="C45" s="19" t="s">
        <v>104</v>
      </c>
      <c r="D45" s="11" t="s">
        <v>48</v>
      </c>
      <c r="E45" s="21" t="s">
        <v>127</v>
      </c>
      <c r="F45" s="17" t="s">
        <v>108</v>
      </c>
      <c r="G45" s="14"/>
      <c r="H45" s="15" t="s">
        <v>20</v>
      </c>
      <c r="I45" s="15" t="s">
        <v>20</v>
      </c>
      <c r="J45" s="15" t="s">
        <v>21</v>
      </c>
      <c r="K45" s="15" t="s">
        <v>20</v>
      </c>
      <c r="L45" s="15" t="s">
        <v>20</v>
      </c>
      <c r="M45" s="15" t="s">
        <v>20</v>
      </c>
      <c r="N45" s="15" t="s">
        <v>20</v>
      </c>
      <c r="O45" s="16">
        <f t="shared" si="0"/>
        <v>6</v>
      </c>
    </row>
    <row r="46" spans="1:15" x14ac:dyDescent="0.25">
      <c r="A46" s="11">
        <v>12</v>
      </c>
      <c r="B46" s="19" t="s">
        <v>128</v>
      </c>
      <c r="C46" s="19" t="s">
        <v>104</v>
      </c>
      <c r="D46" s="11" t="s">
        <v>50</v>
      </c>
      <c r="E46" s="21" t="s">
        <v>129</v>
      </c>
      <c r="F46" s="20" t="s">
        <v>41</v>
      </c>
      <c r="G46" s="14"/>
      <c r="H46" s="15" t="s">
        <v>20</v>
      </c>
      <c r="I46" s="15" t="s">
        <v>20</v>
      </c>
      <c r="J46" s="15" t="s">
        <v>21</v>
      </c>
      <c r="K46" s="15" t="s">
        <v>20</v>
      </c>
      <c r="L46" s="15" t="s">
        <v>20</v>
      </c>
      <c r="M46" s="15" t="s">
        <v>20</v>
      </c>
      <c r="N46" s="15" t="s">
        <v>20</v>
      </c>
      <c r="O46" s="16">
        <f t="shared" si="0"/>
        <v>6</v>
      </c>
    </row>
    <row r="47" spans="1:15" x14ac:dyDescent="0.25">
      <c r="A47" s="11">
        <v>13</v>
      </c>
      <c r="B47" s="19" t="s">
        <v>130</v>
      </c>
      <c r="C47" s="19" t="s">
        <v>104</v>
      </c>
      <c r="D47" s="11" t="s">
        <v>52</v>
      </c>
      <c r="E47" s="21" t="s">
        <v>131</v>
      </c>
      <c r="F47" s="17" t="s">
        <v>125</v>
      </c>
      <c r="G47" s="14"/>
      <c r="H47" s="15" t="s">
        <v>20</v>
      </c>
      <c r="I47" s="15" t="s">
        <v>20</v>
      </c>
      <c r="J47" s="15" t="s">
        <v>20</v>
      </c>
      <c r="K47" s="15" t="s">
        <v>20</v>
      </c>
      <c r="L47" s="15" t="s">
        <v>20</v>
      </c>
      <c r="M47" s="15" t="s">
        <v>20</v>
      </c>
      <c r="N47" s="15" t="s">
        <v>20</v>
      </c>
      <c r="O47" s="16">
        <f t="shared" si="0"/>
        <v>7</v>
      </c>
    </row>
    <row r="48" spans="1:15" x14ac:dyDescent="0.25">
      <c r="A48" s="11">
        <v>14</v>
      </c>
      <c r="B48" s="19" t="s">
        <v>132</v>
      </c>
      <c r="C48" s="19" t="s">
        <v>104</v>
      </c>
      <c r="D48" s="11" t="s">
        <v>55</v>
      </c>
      <c r="E48" s="21" t="s">
        <v>133</v>
      </c>
      <c r="F48" s="17" t="s">
        <v>134</v>
      </c>
      <c r="G48" s="14"/>
      <c r="H48" s="15" t="s">
        <v>20</v>
      </c>
      <c r="I48" s="15" t="s">
        <v>20</v>
      </c>
      <c r="J48" s="15" t="s">
        <v>21</v>
      </c>
      <c r="K48" s="15" t="s">
        <v>20</v>
      </c>
      <c r="L48" s="15" t="s">
        <v>20</v>
      </c>
      <c r="M48" s="15" t="s">
        <v>20</v>
      </c>
      <c r="N48" s="15" t="s">
        <v>20</v>
      </c>
      <c r="O48" s="16">
        <f t="shared" si="0"/>
        <v>6</v>
      </c>
    </row>
    <row r="49" spans="1:15" x14ac:dyDescent="0.25">
      <c r="A49" s="11">
        <v>15</v>
      </c>
      <c r="B49" s="19" t="s">
        <v>135</v>
      </c>
      <c r="C49" s="19" t="s">
        <v>104</v>
      </c>
      <c r="D49" s="11" t="s">
        <v>58</v>
      </c>
      <c r="E49" s="21" t="s">
        <v>136</v>
      </c>
      <c r="F49" s="20" t="s">
        <v>33</v>
      </c>
      <c r="G49" s="14"/>
      <c r="H49" s="15" t="s">
        <v>20</v>
      </c>
      <c r="I49" s="15" t="s">
        <v>20</v>
      </c>
      <c r="J49" s="15" t="s">
        <v>20</v>
      </c>
      <c r="K49" s="15" t="s">
        <v>20</v>
      </c>
      <c r="L49" s="15" t="s">
        <v>20</v>
      </c>
      <c r="M49" s="15" t="s">
        <v>20</v>
      </c>
      <c r="N49" s="15" t="s">
        <v>20</v>
      </c>
      <c r="O49" s="16">
        <f t="shared" si="0"/>
        <v>7</v>
      </c>
    </row>
    <row r="50" spans="1:15" x14ac:dyDescent="0.25">
      <c r="A50" s="11">
        <v>16</v>
      </c>
      <c r="B50" s="19" t="s">
        <v>137</v>
      </c>
      <c r="C50" s="19" t="s">
        <v>104</v>
      </c>
      <c r="D50" s="11" t="s">
        <v>61</v>
      </c>
      <c r="E50" s="21" t="s">
        <v>138</v>
      </c>
      <c r="F50" s="20" t="s">
        <v>25</v>
      </c>
      <c r="G50" s="14"/>
      <c r="H50" s="15" t="s">
        <v>20</v>
      </c>
      <c r="I50" s="15" t="s">
        <v>20</v>
      </c>
      <c r="J50" s="15" t="s">
        <v>21</v>
      </c>
      <c r="K50" s="15" t="s">
        <v>20</v>
      </c>
      <c r="L50" s="15" t="s">
        <v>20</v>
      </c>
      <c r="M50" s="15" t="s">
        <v>20</v>
      </c>
      <c r="N50" s="15" t="s">
        <v>20</v>
      </c>
      <c r="O50" s="16">
        <f t="shared" si="0"/>
        <v>6</v>
      </c>
    </row>
    <row r="51" spans="1:15" x14ac:dyDescent="0.25">
      <c r="A51" s="11">
        <v>17</v>
      </c>
      <c r="B51" s="19" t="s">
        <v>139</v>
      </c>
      <c r="C51" s="19" t="s">
        <v>104</v>
      </c>
      <c r="D51" s="11" t="s">
        <v>63</v>
      </c>
      <c r="E51" s="21" t="s">
        <v>140</v>
      </c>
      <c r="F51" s="17" t="s">
        <v>95</v>
      </c>
      <c r="G51" s="14"/>
      <c r="H51" s="15" t="s">
        <v>20</v>
      </c>
      <c r="I51" s="15" t="s">
        <v>20</v>
      </c>
      <c r="J51" s="15" t="s">
        <v>20</v>
      </c>
      <c r="K51" s="15" t="s">
        <v>20</v>
      </c>
      <c r="L51" s="15" t="s">
        <v>20</v>
      </c>
      <c r="M51" s="15" t="s">
        <v>20</v>
      </c>
      <c r="N51" s="15" t="s">
        <v>20</v>
      </c>
      <c r="O51" s="16">
        <f t="shared" si="0"/>
        <v>7</v>
      </c>
    </row>
    <row r="52" spans="1:15" x14ac:dyDescent="0.25">
      <c r="A52" s="11">
        <v>18</v>
      </c>
      <c r="B52" s="19" t="s">
        <v>141</v>
      </c>
      <c r="C52" s="19" t="s">
        <v>104</v>
      </c>
      <c r="D52" s="11" t="s">
        <v>66</v>
      </c>
      <c r="E52" s="21" t="s">
        <v>142</v>
      </c>
      <c r="F52" s="17" t="s">
        <v>33</v>
      </c>
      <c r="G52" s="14"/>
      <c r="H52" s="15" t="s">
        <v>20</v>
      </c>
      <c r="I52" s="15" t="s">
        <v>20</v>
      </c>
      <c r="J52" s="15" t="s">
        <v>20</v>
      </c>
      <c r="K52" s="15" t="s">
        <v>21</v>
      </c>
      <c r="L52" s="15" t="s">
        <v>20</v>
      </c>
      <c r="M52" s="15" t="s">
        <v>20</v>
      </c>
      <c r="N52" s="15" t="s">
        <v>20</v>
      </c>
      <c r="O52" s="16">
        <f t="shared" si="0"/>
        <v>6</v>
      </c>
    </row>
    <row r="53" spans="1:15" x14ac:dyDescent="0.25">
      <c r="A53" s="11">
        <v>19</v>
      </c>
      <c r="B53" s="19" t="s">
        <v>143</v>
      </c>
      <c r="C53" s="19" t="s">
        <v>104</v>
      </c>
      <c r="D53" s="11" t="s">
        <v>68</v>
      </c>
      <c r="E53" s="21" t="s">
        <v>144</v>
      </c>
      <c r="F53" s="17" t="s">
        <v>145</v>
      </c>
      <c r="G53" s="14"/>
      <c r="H53" s="15" t="s">
        <v>20</v>
      </c>
      <c r="I53" s="15" t="s">
        <v>20</v>
      </c>
      <c r="J53" s="15" t="s">
        <v>21</v>
      </c>
      <c r="K53" s="15" t="s">
        <v>20</v>
      </c>
      <c r="L53" s="15" t="s">
        <v>20</v>
      </c>
      <c r="M53" s="15" t="s">
        <v>20</v>
      </c>
      <c r="N53" s="15" t="s">
        <v>20</v>
      </c>
      <c r="O53" s="16">
        <f t="shared" si="0"/>
        <v>6</v>
      </c>
    </row>
    <row r="54" spans="1:15" x14ac:dyDescent="0.25">
      <c r="A54" s="11">
        <v>20</v>
      </c>
      <c r="B54" s="19" t="s">
        <v>146</v>
      </c>
      <c r="C54" s="19" t="s">
        <v>104</v>
      </c>
      <c r="D54" s="11" t="s">
        <v>70</v>
      </c>
      <c r="E54" s="21" t="s">
        <v>147</v>
      </c>
      <c r="F54" s="17" t="s">
        <v>33</v>
      </c>
      <c r="G54" s="14"/>
      <c r="H54" s="15" t="s">
        <v>20</v>
      </c>
      <c r="I54" s="15" t="s">
        <v>20</v>
      </c>
      <c r="J54" s="15" t="s">
        <v>21</v>
      </c>
      <c r="K54" s="15" t="s">
        <v>20</v>
      </c>
      <c r="L54" s="15" t="s">
        <v>20</v>
      </c>
      <c r="M54" s="15" t="s">
        <v>20</v>
      </c>
      <c r="N54" s="15" t="s">
        <v>20</v>
      </c>
      <c r="O54" s="16">
        <f t="shared" si="0"/>
        <v>6</v>
      </c>
    </row>
    <row r="55" spans="1:15" x14ac:dyDescent="0.25">
      <c r="A55" s="11">
        <v>21</v>
      </c>
      <c r="B55" s="19" t="s">
        <v>148</v>
      </c>
      <c r="C55" s="19" t="s">
        <v>104</v>
      </c>
      <c r="D55" s="11" t="s">
        <v>72</v>
      </c>
      <c r="E55" s="21" t="s">
        <v>149</v>
      </c>
      <c r="F55" s="17" t="s">
        <v>134</v>
      </c>
      <c r="G55" s="14"/>
      <c r="H55" s="15" t="s">
        <v>20</v>
      </c>
      <c r="I55" s="15" t="s">
        <v>20</v>
      </c>
      <c r="J55" s="15" t="s">
        <v>21</v>
      </c>
      <c r="K55" s="15" t="s">
        <v>20</v>
      </c>
      <c r="L55" s="15" t="s">
        <v>20</v>
      </c>
      <c r="M55" s="15" t="s">
        <v>20</v>
      </c>
      <c r="N55" s="15" t="s">
        <v>20</v>
      </c>
      <c r="O55" s="16">
        <f t="shared" si="0"/>
        <v>6</v>
      </c>
    </row>
    <row r="56" spans="1:15" x14ac:dyDescent="0.25">
      <c r="A56" s="11">
        <v>22</v>
      </c>
      <c r="B56" s="19" t="s">
        <v>150</v>
      </c>
      <c r="C56" s="19" t="s">
        <v>104</v>
      </c>
      <c r="D56" s="11" t="s">
        <v>74</v>
      </c>
      <c r="E56" s="21" t="s">
        <v>151</v>
      </c>
      <c r="F56" s="17" t="s">
        <v>108</v>
      </c>
      <c r="G56" s="14"/>
      <c r="H56" s="15" t="s">
        <v>20</v>
      </c>
      <c r="I56" s="15" t="s">
        <v>20</v>
      </c>
      <c r="J56" s="15" t="s">
        <v>20</v>
      </c>
      <c r="K56" s="15" t="s">
        <v>20</v>
      </c>
      <c r="L56" s="15" t="s">
        <v>20</v>
      </c>
      <c r="M56" s="15" t="s">
        <v>20</v>
      </c>
      <c r="N56" s="15" t="s">
        <v>20</v>
      </c>
      <c r="O56" s="16">
        <f t="shared" si="0"/>
        <v>7</v>
      </c>
    </row>
    <row r="57" spans="1:15" x14ac:dyDescent="0.25">
      <c r="A57" s="11">
        <v>23</v>
      </c>
      <c r="B57" s="19" t="s">
        <v>152</v>
      </c>
      <c r="C57" s="19" t="s">
        <v>104</v>
      </c>
      <c r="D57" s="11" t="s">
        <v>76</v>
      </c>
      <c r="E57" s="21" t="s">
        <v>153</v>
      </c>
      <c r="F57" s="20" t="s">
        <v>108</v>
      </c>
      <c r="G57" s="14"/>
      <c r="H57" s="15" t="s">
        <v>20</v>
      </c>
      <c r="I57" s="15" t="s">
        <v>20</v>
      </c>
      <c r="J57" s="15" t="s">
        <v>21</v>
      </c>
      <c r="K57" s="15" t="s">
        <v>20</v>
      </c>
      <c r="L57" s="15" t="s">
        <v>20</v>
      </c>
      <c r="M57" s="15" t="s">
        <v>20</v>
      </c>
      <c r="N57" s="15" t="s">
        <v>20</v>
      </c>
      <c r="O57" s="16">
        <f t="shared" si="0"/>
        <v>6</v>
      </c>
    </row>
    <row r="58" spans="1:15" x14ac:dyDescent="0.25">
      <c r="A58" s="11">
        <v>24</v>
      </c>
      <c r="B58" s="19" t="s">
        <v>154</v>
      </c>
      <c r="C58" s="19" t="s">
        <v>104</v>
      </c>
      <c r="D58" s="11" t="s">
        <v>79</v>
      </c>
      <c r="E58" s="21" t="s">
        <v>155</v>
      </c>
      <c r="F58" s="17" t="s">
        <v>95</v>
      </c>
      <c r="G58" s="14"/>
      <c r="H58" s="15" t="s">
        <v>20</v>
      </c>
      <c r="I58" s="15" t="s">
        <v>21</v>
      </c>
      <c r="J58" s="15" t="s">
        <v>21</v>
      </c>
      <c r="K58" s="15" t="s">
        <v>20</v>
      </c>
      <c r="L58" s="15" t="s">
        <v>20</v>
      </c>
      <c r="M58" s="15" t="s">
        <v>20</v>
      </c>
      <c r="N58" s="15" t="s">
        <v>20</v>
      </c>
      <c r="O58" s="16">
        <f t="shared" si="0"/>
        <v>5</v>
      </c>
    </row>
    <row r="59" spans="1:15" x14ac:dyDescent="0.25">
      <c r="A59" s="11">
        <v>25</v>
      </c>
      <c r="B59" s="19" t="s">
        <v>156</v>
      </c>
      <c r="C59" s="19" t="s">
        <v>104</v>
      </c>
      <c r="D59" s="11" t="s">
        <v>81</v>
      </c>
      <c r="E59" s="21" t="s">
        <v>157</v>
      </c>
      <c r="F59" s="20" t="s">
        <v>134</v>
      </c>
      <c r="G59" s="14"/>
      <c r="H59" s="15" t="s">
        <v>20</v>
      </c>
      <c r="I59" s="15" t="s">
        <v>20</v>
      </c>
      <c r="J59" s="15" t="s">
        <v>21</v>
      </c>
      <c r="K59" s="15" t="s">
        <v>20</v>
      </c>
      <c r="L59" s="15" t="s">
        <v>20</v>
      </c>
      <c r="M59" s="15" t="s">
        <v>20</v>
      </c>
      <c r="N59" s="15" t="s">
        <v>20</v>
      </c>
      <c r="O59" s="16">
        <f t="shared" si="0"/>
        <v>6</v>
      </c>
    </row>
    <row r="60" spans="1:15" x14ac:dyDescent="0.25">
      <c r="A60" s="11">
        <v>26</v>
      </c>
      <c r="B60" s="19" t="s">
        <v>158</v>
      </c>
      <c r="C60" s="19" t="s">
        <v>104</v>
      </c>
      <c r="D60" s="11" t="s">
        <v>83</v>
      </c>
      <c r="E60" s="21" t="s">
        <v>159</v>
      </c>
      <c r="F60" s="17" t="s">
        <v>134</v>
      </c>
      <c r="G60" s="14"/>
      <c r="H60" s="15" t="s">
        <v>20</v>
      </c>
      <c r="I60" s="15" t="s">
        <v>20</v>
      </c>
      <c r="J60" s="15" t="s">
        <v>21</v>
      </c>
      <c r="K60" s="15" t="s">
        <v>20</v>
      </c>
      <c r="L60" s="15" t="s">
        <v>20</v>
      </c>
      <c r="M60" s="15" t="s">
        <v>20</v>
      </c>
      <c r="N60" s="15" t="s">
        <v>20</v>
      </c>
      <c r="O60" s="16">
        <f t="shared" si="0"/>
        <v>6</v>
      </c>
    </row>
    <row r="61" spans="1:15" x14ac:dyDescent="0.25">
      <c r="A61" s="11">
        <v>27</v>
      </c>
      <c r="B61" s="19" t="s">
        <v>160</v>
      </c>
      <c r="C61" s="19" t="s">
        <v>104</v>
      </c>
      <c r="D61" s="11" t="s">
        <v>85</v>
      </c>
      <c r="E61" s="21" t="s">
        <v>161</v>
      </c>
      <c r="F61" s="20" t="s">
        <v>99</v>
      </c>
      <c r="G61" s="14"/>
      <c r="H61" s="15" t="s">
        <v>20</v>
      </c>
      <c r="I61" s="15" t="s">
        <v>20</v>
      </c>
      <c r="J61" s="15" t="s">
        <v>21</v>
      </c>
      <c r="K61" s="15" t="s">
        <v>20</v>
      </c>
      <c r="L61" s="15" t="s">
        <v>20</v>
      </c>
      <c r="M61" s="15" t="s">
        <v>20</v>
      </c>
      <c r="N61" s="15" t="s">
        <v>20</v>
      </c>
      <c r="O61" s="16">
        <f t="shared" si="0"/>
        <v>6</v>
      </c>
    </row>
    <row r="62" spans="1:15" x14ac:dyDescent="0.25">
      <c r="A62" s="11">
        <v>28</v>
      </c>
      <c r="B62" s="19" t="s">
        <v>162</v>
      </c>
      <c r="C62" s="19" t="s">
        <v>104</v>
      </c>
      <c r="D62" s="11" t="s">
        <v>88</v>
      </c>
      <c r="E62" s="21" t="s">
        <v>163</v>
      </c>
      <c r="F62" s="17" t="s">
        <v>108</v>
      </c>
      <c r="G62" s="14"/>
      <c r="H62" s="15" t="s">
        <v>21</v>
      </c>
      <c r="I62" s="15" t="s">
        <v>20</v>
      </c>
      <c r="J62" s="15" t="s">
        <v>20</v>
      </c>
      <c r="K62" s="15" t="s">
        <v>20</v>
      </c>
      <c r="L62" s="15" t="s">
        <v>20</v>
      </c>
      <c r="M62" s="15" t="s">
        <v>20</v>
      </c>
      <c r="N62" s="15" t="s">
        <v>20</v>
      </c>
      <c r="O62" s="16">
        <f t="shared" si="0"/>
        <v>6</v>
      </c>
    </row>
    <row r="63" spans="1:15" x14ac:dyDescent="0.25">
      <c r="A63" s="11">
        <v>29</v>
      </c>
      <c r="B63" s="19" t="s">
        <v>164</v>
      </c>
      <c r="C63" s="19" t="s">
        <v>104</v>
      </c>
      <c r="D63" s="11" t="s">
        <v>91</v>
      </c>
      <c r="E63" s="21" t="s">
        <v>165</v>
      </c>
      <c r="F63" s="20" t="s">
        <v>41</v>
      </c>
      <c r="G63" s="14"/>
      <c r="H63" s="15" t="s">
        <v>20</v>
      </c>
      <c r="I63" s="15" t="s">
        <v>20</v>
      </c>
      <c r="J63" s="15" t="s">
        <v>21</v>
      </c>
      <c r="K63" s="15" t="s">
        <v>20</v>
      </c>
      <c r="L63" s="15" t="s">
        <v>20</v>
      </c>
      <c r="M63" s="15" t="s">
        <v>20</v>
      </c>
      <c r="N63" s="15" t="s">
        <v>20</v>
      </c>
      <c r="O63" s="16">
        <f t="shared" si="0"/>
        <v>6</v>
      </c>
    </row>
    <row r="64" spans="1:15" x14ac:dyDescent="0.25">
      <c r="A64" s="11">
        <v>30</v>
      </c>
      <c r="B64" s="19" t="s">
        <v>166</v>
      </c>
      <c r="C64" s="19" t="s">
        <v>104</v>
      </c>
      <c r="D64" s="11" t="s">
        <v>93</v>
      </c>
      <c r="E64" s="21" t="s">
        <v>167</v>
      </c>
      <c r="F64" s="17" t="s">
        <v>215</v>
      </c>
      <c r="G64" s="14"/>
      <c r="H64" s="15" t="s">
        <v>20</v>
      </c>
      <c r="I64" s="15" t="s">
        <v>20</v>
      </c>
      <c r="J64" s="15" t="s">
        <v>20</v>
      </c>
      <c r="K64" s="15" t="s">
        <v>20</v>
      </c>
      <c r="L64" s="15" t="s">
        <v>20</v>
      </c>
      <c r="M64" s="15" t="s">
        <v>20</v>
      </c>
      <c r="N64" s="15" t="s">
        <v>20</v>
      </c>
      <c r="O64" s="16">
        <f t="shared" si="0"/>
        <v>7</v>
      </c>
    </row>
    <row r="65" spans="1:15" x14ac:dyDescent="0.25">
      <c r="A65" s="11">
        <v>31</v>
      </c>
      <c r="B65" s="19" t="s">
        <v>168</v>
      </c>
      <c r="C65" s="19" t="s">
        <v>104</v>
      </c>
      <c r="D65" s="11" t="s">
        <v>97</v>
      </c>
      <c r="E65" s="21" t="s">
        <v>169</v>
      </c>
      <c r="F65" s="17" t="s">
        <v>145</v>
      </c>
      <c r="G65" s="14"/>
      <c r="H65" s="15" t="s">
        <v>20</v>
      </c>
      <c r="I65" s="15" t="s">
        <v>20</v>
      </c>
      <c r="J65" s="15" t="s">
        <v>21</v>
      </c>
      <c r="K65" s="15" t="s">
        <v>20</v>
      </c>
      <c r="L65" s="15" t="s">
        <v>20</v>
      </c>
      <c r="M65" s="15" t="s">
        <v>20</v>
      </c>
      <c r="N65" s="15" t="s">
        <v>20</v>
      </c>
      <c r="O65" s="16">
        <f t="shared" si="0"/>
        <v>6</v>
      </c>
    </row>
    <row r="66" spans="1:15" x14ac:dyDescent="0.25">
      <c r="A66" s="11">
        <v>32</v>
      </c>
      <c r="B66" s="19" t="s">
        <v>170</v>
      </c>
      <c r="C66" s="19" t="s">
        <v>104</v>
      </c>
      <c r="D66" s="11" t="s">
        <v>101</v>
      </c>
      <c r="E66" s="21" t="s">
        <v>171</v>
      </c>
      <c r="F66" s="17" t="s">
        <v>145</v>
      </c>
      <c r="G66" s="14"/>
      <c r="H66" s="15" t="s">
        <v>21</v>
      </c>
      <c r="I66" s="15" t="s">
        <v>20</v>
      </c>
      <c r="J66" s="15" t="s">
        <v>21</v>
      </c>
      <c r="K66" s="15" t="s">
        <v>20</v>
      </c>
      <c r="L66" s="15" t="s">
        <v>20</v>
      </c>
      <c r="M66" s="15" t="s">
        <v>20</v>
      </c>
      <c r="N66" s="15" t="s">
        <v>20</v>
      </c>
      <c r="O66" s="16">
        <f t="shared" si="0"/>
        <v>5</v>
      </c>
    </row>
    <row r="67" spans="1:15" x14ac:dyDescent="0.25">
      <c r="A67" s="11">
        <v>33</v>
      </c>
      <c r="B67" s="19" t="s">
        <v>172</v>
      </c>
      <c r="C67" s="19" t="s">
        <v>104</v>
      </c>
      <c r="D67" s="11" t="s">
        <v>173</v>
      </c>
      <c r="E67" s="21" t="s">
        <v>174</v>
      </c>
      <c r="F67" s="20" t="s">
        <v>19</v>
      </c>
      <c r="G67" s="14"/>
      <c r="H67" s="15" t="s">
        <v>20</v>
      </c>
      <c r="I67" s="15" t="s">
        <v>20</v>
      </c>
      <c r="J67" s="15" t="s">
        <v>20</v>
      </c>
      <c r="K67" s="15" t="s">
        <v>20</v>
      </c>
      <c r="L67" s="15" t="s">
        <v>20</v>
      </c>
      <c r="M67" s="15" t="s">
        <v>20</v>
      </c>
      <c r="N67" s="15" t="s">
        <v>20</v>
      </c>
      <c r="O67" s="16">
        <f t="shared" ref="O67:O83" si="1">COUNTIF(H67:N67,"a")</f>
        <v>7</v>
      </c>
    </row>
    <row r="68" spans="1:15" x14ac:dyDescent="0.25">
      <c r="A68" s="11">
        <v>34</v>
      </c>
      <c r="B68" s="19" t="s">
        <v>175</v>
      </c>
      <c r="C68" s="19" t="s">
        <v>104</v>
      </c>
      <c r="D68" s="11" t="s">
        <v>176</v>
      </c>
      <c r="E68" s="21" t="s">
        <v>177</v>
      </c>
      <c r="F68" s="20" t="s">
        <v>178</v>
      </c>
      <c r="G68" s="14"/>
      <c r="H68" s="15" t="s">
        <v>20</v>
      </c>
      <c r="I68" s="15" t="s">
        <v>20</v>
      </c>
      <c r="J68" s="15" t="s">
        <v>21</v>
      </c>
      <c r="K68" s="15" t="s">
        <v>20</v>
      </c>
      <c r="L68" s="15" t="s">
        <v>20</v>
      </c>
      <c r="M68" s="15" t="s">
        <v>20</v>
      </c>
      <c r="N68" s="15" t="s">
        <v>20</v>
      </c>
      <c r="O68" s="16">
        <f t="shared" si="1"/>
        <v>6</v>
      </c>
    </row>
    <row r="69" spans="1:15" x14ac:dyDescent="0.25">
      <c r="A69" s="11">
        <v>35</v>
      </c>
      <c r="B69" s="19" t="s">
        <v>179</v>
      </c>
      <c r="C69" s="19" t="s">
        <v>104</v>
      </c>
      <c r="D69" s="11" t="s">
        <v>180</v>
      </c>
      <c r="E69" s="21" t="s">
        <v>181</v>
      </c>
      <c r="F69" s="20" t="s">
        <v>145</v>
      </c>
      <c r="G69" s="14"/>
      <c r="H69" s="15" t="s">
        <v>20</v>
      </c>
      <c r="I69" s="15" t="s">
        <v>20</v>
      </c>
      <c r="J69" s="15" t="s">
        <v>20</v>
      </c>
      <c r="K69" s="15" t="s">
        <v>21</v>
      </c>
      <c r="L69" s="15" t="s">
        <v>20</v>
      </c>
      <c r="M69" s="15" t="s">
        <v>20</v>
      </c>
      <c r="N69" s="15" t="s">
        <v>20</v>
      </c>
      <c r="O69" s="16">
        <f t="shared" si="1"/>
        <v>6</v>
      </c>
    </row>
    <row r="70" spans="1:15" x14ac:dyDescent="0.25">
      <c r="A70" s="11">
        <v>36</v>
      </c>
      <c r="B70" s="19" t="s">
        <v>182</v>
      </c>
      <c r="C70" s="19" t="s">
        <v>104</v>
      </c>
      <c r="D70" s="11" t="s">
        <v>183</v>
      </c>
      <c r="E70" s="21" t="s">
        <v>184</v>
      </c>
      <c r="F70" s="20" t="s">
        <v>41</v>
      </c>
      <c r="G70" s="14"/>
      <c r="H70" s="15" t="s">
        <v>20</v>
      </c>
      <c r="I70" s="15" t="s">
        <v>20</v>
      </c>
      <c r="J70" s="15" t="s">
        <v>21</v>
      </c>
      <c r="K70" s="15" t="s">
        <v>20</v>
      </c>
      <c r="L70" s="15" t="s">
        <v>20</v>
      </c>
      <c r="M70" s="15" t="s">
        <v>20</v>
      </c>
      <c r="N70" s="15" t="s">
        <v>20</v>
      </c>
      <c r="O70" s="16">
        <f t="shared" si="1"/>
        <v>6</v>
      </c>
    </row>
    <row r="71" spans="1:15" x14ac:dyDescent="0.25">
      <c r="A71" s="11">
        <v>37</v>
      </c>
      <c r="B71" s="19" t="s">
        <v>185</v>
      </c>
      <c r="C71" s="19" t="s">
        <v>104</v>
      </c>
      <c r="D71" s="11" t="s">
        <v>186</v>
      </c>
      <c r="E71" s="21" t="s">
        <v>187</v>
      </c>
      <c r="F71" s="20" t="s">
        <v>99</v>
      </c>
      <c r="G71" s="14"/>
      <c r="H71" s="15" t="s">
        <v>21</v>
      </c>
      <c r="I71" s="15" t="s">
        <v>20</v>
      </c>
      <c r="J71" s="15" t="s">
        <v>20</v>
      </c>
      <c r="K71" s="15" t="s">
        <v>20</v>
      </c>
      <c r="L71" s="15" t="s">
        <v>20</v>
      </c>
      <c r="M71" s="15" t="s">
        <v>20</v>
      </c>
      <c r="N71" s="15" t="s">
        <v>20</v>
      </c>
      <c r="O71" s="16">
        <f t="shared" si="1"/>
        <v>6</v>
      </c>
    </row>
    <row r="72" spans="1:15" x14ac:dyDescent="0.25">
      <c r="A72" s="11">
        <v>38</v>
      </c>
      <c r="B72" s="19" t="s">
        <v>188</v>
      </c>
      <c r="C72" s="19" t="s">
        <v>104</v>
      </c>
      <c r="D72" s="11" t="s">
        <v>189</v>
      </c>
      <c r="E72" s="21" t="s">
        <v>190</v>
      </c>
      <c r="F72" s="17" t="s">
        <v>134</v>
      </c>
      <c r="G72" s="14"/>
      <c r="H72" s="15" t="s">
        <v>20</v>
      </c>
      <c r="I72" s="15" t="s">
        <v>20</v>
      </c>
      <c r="J72" s="15" t="s">
        <v>21</v>
      </c>
      <c r="K72" s="15" t="s">
        <v>21</v>
      </c>
      <c r="L72" s="15" t="s">
        <v>20</v>
      </c>
      <c r="M72" s="15" t="s">
        <v>20</v>
      </c>
      <c r="N72" s="15" t="s">
        <v>20</v>
      </c>
      <c r="O72" s="16">
        <f t="shared" si="1"/>
        <v>5</v>
      </c>
    </row>
    <row r="73" spans="1:15" x14ac:dyDescent="0.25">
      <c r="A73" s="11">
        <v>39</v>
      </c>
      <c r="B73" s="19" t="s">
        <v>191</v>
      </c>
      <c r="C73" s="19" t="s">
        <v>104</v>
      </c>
      <c r="D73" s="11" t="s">
        <v>192</v>
      </c>
      <c r="E73" s="21" t="s">
        <v>193</v>
      </c>
      <c r="F73" s="17" t="s">
        <v>134</v>
      </c>
      <c r="G73" s="14"/>
      <c r="H73" s="15" t="s">
        <v>20</v>
      </c>
      <c r="I73" s="15" t="s">
        <v>20</v>
      </c>
      <c r="J73" s="15" t="s">
        <v>21</v>
      </c>
      <c r="K73" s="15" t="s">
        <v>20</v>
      </c>
      <c r="L73" s="15" t="s">
        <v>20</v>
      </c>
      <c r="M73" s="15" t="s">
        <v>20</v>
      </c>
      <c r="N73" s="15" t="s">
        <v>20</v>
      </c>
      <c r="O73" s="16">
        <f t="shared" si="1"/>
        <v>6</v>
      </c>
    </row>
    <row r="74" spans="1:15" x14ac:dyDescent="0.25">
      <c r="A74" s="11">
        <v>40</v>
      </c>
      <c r="B74" s="19" t="s">
        <v>194</v>
      </c>
      <c r="C74" s="19" t="s">
        <v>104</v>
      </c>
      <c r="D74" s="11" t="s">
        <v>195</v>
      </c>
      <c r="E74" s="21" t="s">
        <v>196</v>
      </c>
      <c r="F74" s="17" t="s">
        <v>134</v>
      </c>
      <c r="G74" s="14"/>
      <c r="H74" s="15" t="s">
        <v>20</v>
      </c>
      <c r="I74" s="15" t="s">
        <v>20</v>
      </c>
      <c r="J74" s="15" t="s">
        <v>20</v>
      </c>
      <c r="K74" s="15" t="s">
        <v>21</v>
      </c>
      <c r="L74" s="15" t="s">
        <v>20</v>
      </c>
      <c r="M74" s="15" t="s">
        <v>20</v>
      </c>
      <c r="N74" s="15" t="s">
        <v>20</v>
      </c>
      <c r="O74" s="16">
        <f t="shared" si="1"/>
        <v>6</v>
      </c>
    </row>
    <row r="75" spans="1:15" x14ac:dyDescent="0.25">
      <c r="A75" s="11">
        <v>41</v>
      </c>
      <c r="B75" s="19" t="s">
        <v>197</v>
      </c>
      <c r="C75" s="19" t="s">
        <v>104</v>
      </c>
      <c r="D75" s="11" t="s">
        <v>198</v>
      </c>
      <c r="E75" s="21" t="s">
        <v>199</v>
      </c>
      <c r="F75" s="17" t="s">
        <v>145</v>
      </c>
      <c r="G75" s="14"/>
      <c r="H75" s="15" t="s">
        <v>20</v>
      </c>
      <c r="I75" s="15" t="s">
        <v>20</v>
      </c>
      <c r="J75" s="15" t="s">
        <v>21</v>
      </c>
      <c r="K75" s="15" t="s">
        <v>20</v>
      </c>
      <c r="L75" s="15" t="s">
        <v>20</v>
      </c>
      <c r="M75" s="15" t="s">
        <v>20</v>
      </c>
      <c r="N75" s="15" t="s">
        <v>20</v>
      </c>
      <c r="O75" s="16">
        <f t="shared" si="1"/>
        <v>6</v>
      </c>
    </row>
    <row r="76" spans="1:15" x14ac:dyDescent="0.25">
      <c r="A76" s="11">
        <v>42</v>
      </c>
      <c r="B76" s="19" t="s">
        <v>200</v>
      </c>
      <c r="C76" s="19" t="s">
        <v>104</v>
      </c>
      <c r="D76" s="11" t="s">
        <v>201</v>
      </c>
      <c r="E76" s="21" t="s">
        <v>202</v>
      </c>
      <c r="F76" s="20" t="s">
        <v>145</v>
      </c>
      <c r="G76" s="14"/>
      <c r="H76" s="15" t="s">
        <v>20</v>
      </c>
      <c r="I76" s="15" t="s">
        <v>20</v>
      </c>
      <c r="J76" s="15" t="s">
        <v>20</v>
      </c>
      <c r="K76" s="15" t="s">
        <v>21</v>
      </c>
      <c r="L76" s="15" t="s">
        <v>20</v>
      </c>
      <c r="M76" s="15" t="s">
        <v>20</v>
      </c>
      <c r="N76" s="15" t="s">
        <v>20</v>
      </c>
      <c r="O76" s="16">
        <f t="shared" si="1"/>
        <v>6</v>
      </c>
    </row>
    <row r="77" spans="1:15" x14ac:dyDescent="0.25">
      <c r="A77" s="11">
        <v>43</v>
      </c>
      <c r="B77" s="19" t="s">
        <v>203</v>
      </c>
      <c r="C77" s="19" t="s">
        <v>104</v>
      </c>
      <c r="D77" s="11" t="s">
        <v>204</v>
      </c>
      <c r="E77" s="21" t="s">
        <v>205</v>
      </c>
      <c r="F77" s="17" t="s">
        <v>99</v>
      </c>
      <c r="G77" s="14"/>
      <c r="H77" s="15" t="s">
        <v>20</v>
      </c>
      <c r="I77" s="15" t="s">
        <v>20</v>
      </c>
      <c r="J77" s="15" t="s">
        <v>21</v>
      </c>
      <c r="K77" s="15" t="s">
        <v>20</v>
      </c>
      <c r="L77" s="15" t="s">
        <v>20</v>
      </c>
      <c r="M77" s="15" t="s">
        <v>20</v>
      </c>
      <c r="N77" s="15" t="s">
        <v>20</v>
      </c>
      <c r="O77" s="16">
        <f t="shared" si="1"/>
        <v>6</v>
      </c>
    </row>
    <row r="78" spans="1:15" x14ac:dyDescent="0.25">
      <c r="A78" s="11">
        <v>44</v>
      </c>
      <c r="B78" s="19" t="s">
        <v>206</v>
      </c>
      <c r="C78" s="19" t="s">
        <v>104</v>
      </c>
      <c r="D78" s="11" t="s">
        <v>207</v>
      </c>
      <c r="E78" s="21" t="s">
        <v>208</v>
      </c>
      <c r="F78" s="17" t="s">
        <v>41</v>
      </c>
      <c r="G78" s="14"/>
      <c r="H78" s="15" t="s">
        <v>20</v>
      </c>
      <c r="I78" s="15" t="s">
        <v>20</v>
      </c>
      <c r="J78" s="15" t="s">
        <v>21</v>
      </c>
      <c r="K78" s="15" t="s">
        <v>20</v>
      </c>
      <c r="L78" s="15" t="s">
        <v>20</v>
      </c>
      <c r="M78" s="15" t="s">
        <v>20</v>
      </c>
      <c r="N78" s="15" t="s">
        <v>20</v>
      </c>
      <c r="O78" s="16">
        <f t="shared" si="1"/>
        <v>6</v>
      </c>
    </row>
    <row r="79" spans="1:15" x14ac:dyDescent="0.25">
      <c r="A79" s="11">
        <v>45</v>
      </c>
      <c r="B79" s="19" t="s">
        <v>209</v>
      </c>
      <c r="C79" s="19" t="s">
        <v>104</v>
      </c>
      <c r="D79" s="11" t="s">
        <v>210</v>
      </c>
      <c r="E79" s="21" t="s">
        <v>211</v>
      </c>
      <c r="F79" s="17" t="s">
        <v>113</v>
      </c>
      <c r="G79" s="14"/>
      <c r="H79" s="15" t="s">
        <v>20</v>
      </c>
      <c r="I79" s="15" t="s">
        <v>20</v>
      </c>
      <c r="J79" s="15" t="s">
        <v>21</v>
      </c>
      <c r="K79" s="15" t="s">
        <v>20</v>
      </c>
      <c r="L79" s="15" t="s">
        <v>20</v>
      </c>
      <c r="M79" s="15" t="s">
        <v>20</v>
      </c>
      <c r="N79" s="15" t="s">
        <v>20</v>
      </c>
      <c r="O79" s="16">
        <f t="shared" si="1"/>
        <v>6</v>
      </c>
    </row>
    <row r="80" spans="1:15" x14ac:dyDescent="0.25">
      <c r="A80" s="11">
        <v>46</v>
      </c>
      <c r="B80" s="19" t="s">
        <v>212</v>
      </c>
      <c r="C80" s="19" t="s">
        <v>104</v>
      </c>
      <c r="D80" s="11" t="s">
        <v>213</v>
      </c>
      <c r="E80" s="21" t="s">
        <v>214</v>
      </c>
      <c r="F80" s="17" t="s">
        <v>33</v>
      </c>
      <c r="G80" s="14"/>
      <c r="H80" s="15" t="s">
        <v>21</v>
      </c>
      <c r="I80" s="15" t="s">
        <v>20</v>
      </c>
      <c r="J80" s="15" t="s">
        <v>20</v>
      </c>
      <c r="K80" s="15" t="s">
        <v>20</v>
      </c>
      <c r="L80" s="15" t="s">
        <v>20</v>
      </c>
      <c r="M80" s="15" t="s">
        <v>20</v>
      </c>
      <c r="N80" s="15" t="s">
        <v>20</v>
      </c>
      <c r="O80" s="16">
        <f t="shared" si="1"/>
        <v>6</v>
      </c>
    </row>
    <row r="81" spans="1:15" x14ac:dyDescent="0.25">
      <c r="A81" s="11">
        <v>47</v>
      </c>
      <c r="B81" s="19" t="s">
        <v>216</v>
      </c>
      <c r="C81" s="19" t="s">
        <v>104</v>
      </c>
      <c r="D81" s="11" t="s">
        <v>217</v>
      </c>
      <c r="E81" s="21"/>
      <c r="F81" s="17"/>
      <c r="G81" s="14"/>
      <c r="H81" s="15"/>
      <c r="I81" s="15"/>
      <c r="J81" s="15"/>
      <c r="K81" s="15"/>
      <c r="L81" s="15"/>
      <c r="M81" s="15"/>
      <c r="N81" s="15"/>
      <c r="O81" s="16">
        <f t="shared" si="1"/>
        <v>0</v>
      </c>
    </row>
    <row r="82" spans="1:15" x14ac:dyDescent="0.25">
      <c r="A82" s="11">
        <v>48</v>
      </c>
      <c r="B82" s="19" t="s">
        <v>218</v>
      </c>
      <c r="C82" s="19" t="s">
        <v>104</v>
      </c>
      <c r="D82" s="11" t="s">
        <v>219</v>
      </c>
      <c r="E82" s="21" t="s">
        <v>220</v>
      </c>
      <c r="F82" s="17" t="s">
        <v>215</v>
      </c>
      <c r="G82" s="14"/>
      <c r="H82" s="15" t="s">
        <v>20</v>
      </c>
      <c r="I82" s="15" t="s">
        <v>20</v>
      </c>
      <c r="J82" s="15" t="s">
        <v>21</v>
      </c>
      <c r="K82" s="15" t="s">
        <v>20</v>
      </c>
      <c r="L82" s="15" t="s">
        <v>20</v>
      </c>
      <c r="M82" s="15" t="s">
        <v>20</v>
      </c>
      <c r="N82" s="15" t="s">
        <v>20</v>
      </c>
      <c r="O82" s="16">
        <f t="shared" si="1"/>
        <v>6</v>
      </c>
    </row>
    <row r="83" spans="1:15" x14ac:dyDescent="0.25">
      <c r="A83" s="11">
        <v>49</v>
      </c>
      <c r="B83" s="19" t="s">
        <v>221</v>
      </c>
      <c r="C83" s="19" t="s">
        <v>104</v>
      </c>
      <c r="D83" s="11" t="s">
        <v>222</v>
      </c>
      <c r="E83" s="21" t="s">
        <v>223</v>
      </c>
      <c r="F83" s="17" t="s">
        <v>145</v>
      </c>
      <c r="G83" s="14"/>
      <c r="H83" s="15" t="s">
        <v>20</v>
      </c>
      <c r="I83" s="15" t="s">
        <v>20</v>
      </c>
      <c r="J83" s="15" t="s">
        <v>20</v>
      </c>
      <c r="K83" s="15" t="s">
        <v>20</v>
      </c>
      <c r="L83" s="15" t="s">
        <v>20</v>
      </c>
      <c r="M83" s="15" t="s">
        <v>20</v>
      </c>
      <c r="N83" s="15" t="s">
        <v>20</v>
      </c>
      <c r="O83" s="16">
        <f t="shared" si="1"/>
        <v>7</v>
      </c>
    </row>
  </sheetData>
  <autoFilter ref="A2:O83" xr:uid="{570BE88C-9580-47A2-A0AD-F1DA7EA300D1}"/>
  <conditionalFormatting sqref="B2">
    <cfRule type="duplicateValues" dxfId="103" priority="90"/>
  </conditionalFormatting>
  <conditionalFormatting sqref="B3:B83">
    <cfRule type="duplicateValues" dxfId="102" priority="65"/>
  </conditionalFormatting>
  <conditionalFormatting sqref="D1">
    <cfRule type="duplicateValues" dxfId="101" priority="104"/>
  </conditionalFormatting>
  <conditionalFormatting sqref="E2">
    <cfRule type="duplicateValues" dxfId="100" priority="79"/>
    <cfRule type="duplicateValues" dxfId="99" priority="80"/>
    <cfRule type="duplicateValues" dxfId="98" priority="81"/>
    <cfRule type="duplicateValues" dxfId="97" priority="82"/>
    <cfRule type="duplicateValues" dxfId="96" priority="83"/>
    <cfRule type="duplicateValues" dxfId="95" priority="84"/>
    <cfRule type="duplicateValues" dxfId="94" priority="85"/>
    <cfRule type="duplicateValues" dxfId="93" priority="86"/>
    <cfRule type="duplicateValues" dxfId="92" priority="87"/>
    <cfRule type="duplicateValues" dxfId="91" priority="88"/>
    <cfRule type="duplicateValues" dxfId="90" priority="89"/>
    <cfRule type="duplicateValues" dxfId="89" priority="91"/>
    <cfRule type="duplicateValues" dxfId="88" priority="92"/>
    <cfRule type="duplicateValues" dxfId="87" priority="93"/>
    <cfRule type="duplicateValues" dxfId="86" priority="94"/>
    <cfRule type="duplicateValues" dxfId="85" priority="95"/>
    <cfRule type="duplicateValues" dxfId="84" priority="96"/>
    <cfRule type="duplicateValues" dxfId="83" priority="97"/>
    <cfRule type="duplicateValues" dxfId="82" priority="98"/>
    <cfRule type="duplicateValues" dxfId="81" priority="99"/>
    <cfRule type="duplicateValues" dxfId="80" priority="100"/>
    <cfRule type="duplicateValues" dxfId="79" priority="101"/>
    <cfRule type="duplicateValues" dxfId="78" priority="102"/>
    <cfRule type="duplicateValues" dxfId="77" priority="103"/>
  </conditionalFormatting>
  <conditionalFormatting sqref="E13">
    <cfRule type="duplicateValues" dxfId="76" priority="29"/>
    <cfRule type="duplicateValues" dxfId="75" priority="30"/>
    <cfRule type="duplicateValues" dxfId="74" priority="31"/>
    <cfRule type="duplicateValues" dxfId="73" priority="32"/>
    <cfRule type="duplicateValues" dxfId="72" priority="33"/>
    <cfRule type="duplicateValues" dxfId="71" priority="34"/>
    <cfRule type="duplicateValues" dxfId="70" priority="35"/>
    <cfRule type="duplicateValues" dxfId="69" priority="36"/>
    <cfRule type="duplicateValues" dxfId="68" priority="37"/>
    <cfRule type="duplicateValues" dxfId="67" priority="38"/>
    <cfRule type="duplicateValues" dxfId="66" priority="39"/>
    <cfRule type="duplicateValues" dxfId="65" priority="40"/>
    <cfRule type="duplicateValues" dxfId="64" priority="41"/>
    <cfRule type="duplicateValues" dxfId="63" priority="42"/>
    <cfRule type="duplicateValues" dxfId="62" priority="43"/>
    <cfRule type="duplicateValues" dxfId="61" priority="44"/>
    <cfRule type="duplicateValues" dxfId="60" priority="45"/>
    <cfRule type="duplicateValues" dxfId="59" priority="46"/>
    <cfRule type="duplicateValues" dxfId="58" priority="47"/>
    <cfRule type="duplicateValues" dxfId="57" priority="48"/>
    <cfRule type="duplicateValues" dxfId="56" priority="49"/>
    <cfRule type="duplicateValues" dxfId="55" priority="50"/>
    <cfRule type="duplicateValues" dxfId="54" priority="51"/>
    <cfRule type="duplicateValues" dxfId="53" priority="52"/>
  </conditionalFormatting>
  <conditionalFormatting sqref="E3:E12 E14:E71">
    <cfRule type="duplicateValues" dxfId="52" priority="54"/>
    <cfRule type="duplicateValues" dxfId="51" priority="55"/>
    <cfRule type="duplicateValues" dxfId="50" priority="56"/>
    <cfRule type="duplicateValues" dxfId="49" priority="57"/>
    <cfRule type="duplicateValues" dxfId="48" priority="58"/>
    <cfRule type="duplicateValues" dxfId="47" priority="59"/>
    <cfRule type="duplicateValues" dxfId="46" priority="60"/>
    <cfRule type="duplicateValues" dxfId="45" priority="61"/>
    <cfRule type="duplicateValues" dxfId="44" priority="62"/>
    <cfRule type="duplicateValues" dxfId="43" priority="63"/>
    <cfRule type="duplicateValues" dxfId="42" priority="64"/>
    <cfRule type="duplicateValues" dxfId="41" priority="66"/>
    <cfRule type="duplicateValues" dxfId="40" priority="67"/>
    <cfRule type="duplicateValues" dxfId="39" priority="68"/>
    <cfRule type="duplicateValues" dxfId="38" priority="69"/>
    <cfRule type="duplicateValues" dxfId="37" priority="70"/>
    <cfRule type="duplicateValues" dxfId="36" priority="71"/>
    <cfRule type="duplicateValues" dxfId="35" priority="72"/>
    <cfRule type="duplicateValues" dxfId="34" priority="73"/>
    <cfRule type="duplicateValues" dxfId="33" priority="74"/>
    <cfRule type="duplicateValues" dxfId="32" priority="75"/>
    <cfRule type="duplicateValues" dxfId="31" priority="76"/>
    <cfRule type="duplicateValues" dxfId="30" priority="77"/>
    <cfRule type="duplicateValues" dxfId="29" priority="78"/>
  </conditionalFormatting>
  <conditionalFormatting sqref="E72:E80 E82:E83">
    <cfRule type="duplicateValues" dxfId="28" priority="53"/>
  </conditionalFormatting>
  <conditionalFormatting sqref="E81">
    <cfRule type="duplicateValues" dxfId="27" priority="5"/>
    <cfRule type="duplicateValues" dxfId="26" priority="6"/>
    <cfRule type="duplicateValues" dxfId="25" priority="7"/>
    <cfRule type="duplicateValues" dxfId="24" priority="8"/>
    <cfRule type="duplicateValues" dxfId="23" priority="9"/>
    <cfRule type="duplicateValues" dxfId="22" priority="10"/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  <cfRule type="duplicateValues" dxfId="12" priority="20"/>
    <cfRule type="duplicateValues" dxfId="11" priority="21"/>
    <cfRule type="duplicateValues" dxfId="10" priority="22"/>
    <cfRule type="duplicateValues" dxfId="9" priority="23"/>
    <cfRule type="duplicateValues" dxfId="8" priority="24"/>
    <cfRule type="duplicateValues" dxfId="7" priority="25"/>
    <cfRule type="duplicateValues" dxfId="6" priority="26"/>
    <cfRule type="duplicateValues" dxfId="5" priority="27"/>
    <cfRule type="duplicateValues" dxfId="4" priority="28"/>
  </conditionalFormatting>
  <conditionalFormatting sqref="H6:N38 H40:N83 H39:L39 N39 H1:N4">
    <cfRule type="cellIs" dxfId="3" priority="3" operator="equal">
      <formula>"D"</formula>
    </cfRule>
    <cfRule type="cellIs" dxfId="2" priority="4" operator="equal">
      <formula>"A"</formula>
    </cfRule>
  </conditionalFormatting>
  <conditionalFormatting sqref="H5:N5">
    <cfRule type="cellIs" dxfId="1" priority="1" operator="equal">
      <formula>"D"</formula>
    </cfRule>
    <cfRule type="cellIs" dxfId="0" priority="2" operator="equal">
      <formula>"A"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Garcia</dc:creator>
  <cp:lastModifiedBy>Susan Garcia</cp:lastModifiedBy>
  <dcterms:created xsi:type="dcterms:W3CDTF">2026-06-25T21:06:46Z</dcterms:created>
  <dcterms:modified xsi:type="dcterms:W3CDTF">2026-07-02T21:04:23Z</dcterms:modified>
</cp:coreProperties>
</file>